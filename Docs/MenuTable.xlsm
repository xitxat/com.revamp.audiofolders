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202300"/>
  <mc:AlternateContent xmlns:mc="http://schemas.openxmlformats.org/markup-compatibility/2006">
    <mc:Choice Requires="x15">
      <x15ac:absPath xmlns:x15ac="http://schemas.microsoft.com/office/spreadsheetml/2010/11/ac" url="F:\Unity\Tool Development Project\Assets\Editor\Development\Audio\CSV\"/>
    </mc:Choice>
  </mc:AlternateContent>
  <xr:revisionPtr revIDLastSave="0" documentId="13_ncr:1_{B71DED6D-305E-4CBD-A03C-DA3EBB79D3CE}" xr6:coauthVersionLast="47" xr6:coauthVersionMax="47" xr10:uidLastSave="{00000000-0000-0000-0000-000000000000}"/>
  <bookViews>
    <workbookView xWindow="705" yWindow="915" windowWidth="22905" windowHeight="12780" activeTab="3" xr2:uid="{00000000-000D-0000-FFFF-FFFF00000000}"/>
  </bookViews>
  <sheets>
    <sheet name="MenuTable" sheetId="1" r:id="rId1"/>
    <sheet name="SoundTypes" sheetId="3" r:id="rId2"/>
    <sheet name="ST 4 csv" sheetId="4" r:id="rId3"/>
    <sheet name="FolderCreate" sheetId="5" r:id="rId4"/>
    <sheet name="MacroRef" sheetId="6"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6" l="1"/>
  <c r="C1" i="6"/>
  <c r="B1" i="6"/>
  <c r="A1" i="6"/>
  <c r="A2" i="6" l="1" a="1"/>
  <c r="A2" i="6" s="1"/>
  <c r="B2" i="6" a="1"/>
  <c r="B2"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tc={352E4222-C850-4ED9-9595-055DA2AC653C}</author>
  </authors>
  <commentList>
    <comment ref="E1" authorId="0" shapeId="0" xr:uid="{352E4222-C850-4ED9-9595-055DA2AC653C}">
      <text>
        <t>[Threaded comment]
Your version of Excel allows you to read this threaded comment; however, any edits to it will get removed if the file is opened in a newer version of Excel. Learn more: https://go.microsoft.com/fwlink/?linkid=870924
Comment:
    Parent Folder Selector
Step 1: Setting Up the "MacroRef" Sheet
In the "MacroRef" sheet, we'll extract the IDs and folder names of rows marked as having children from the "FolderCreate" sheet. We'll use Excel formulas that reference column headers to ensure it remains robust against column reordering.
Formula to Pull IDs and Names into "MacroRef":
Get Column Numbers:
First, find column indices based on header names in "FolderCreate". In "MacroRef", you might set this up in cells A1 and B1 for easier reference:
excel
Copy code
A1: =MATCH("Id", 'FolderCreate'!1:1, 0)   // Finds column number for "Id"
B1: =MATCH("English(en)", 'FolderCreate'!1:1, 0)  // Finds column number for "English(en)"
Extract IDs and Names:
Use these indices to pull data for rows that have "Has Child" marked as "1". Assume that the "Has Child" column is also dynamically found:
excel
Copy code
C1: =MATCH("Has Child", 'FolderCreate'!1:1, 0)  // Finds column number for "Has Child"
In "MacroRef" starting from cell A2 for IDs and B2 for Names:
excel
Copy code
A2: =FILTER(INDEX('FolderCreate'!1:1048576, 0, $A$1), INDEX('FolderCreate'!1:1048576, 0, $C$1) = 1)
B2: =FILTER(INDEX('FolderCreate'!1:1048576, 0, $B$1), INDEX('FolderCreate'!1:1048576, 0, $C$1) = 1)
Step 2: Data Validation Setup in "FolderCreate"
Set up data validation for the "Parent ID" column in "FolderCreate" using the list from "MacroRef":
Set Data Validation:
First, dynamically find the "Parent ID" column:
excel
Copy code
D1: =MATCH("Parent ID", 'FolderCreate'!1:1, 0)  // In "FolderCreate", to find column number for "Parent ID"
Apply data validation using the name list from "MacroRef". For example, assuming "Parent ID" is found in Column D dynamically:
excel
Copy code
Select the range in 'FolderCreate' where "Parent ID" should have the dropdown (e.g., D2:D100).
Go to Data &gt; Data Validation.
Set the rule to "List" and source to `='MacroRef'!B:B`
Step 3: VBA Macro for Dynamic Updates
Write a VBA macro that updates data validation rules based on changes in either sheet:
vba
Copy code
Private Sub Workbook_SheetChange(ByVal Sh As Object, ByVal Target As Range)
    Dim idCol As Integer, hasChildCol As Integer, nameCol As Integer
    If Sh.Name = "FolderCreate" Then
        idCol = Application.WorksheetFunction.Match("Id", Sh.Rows(1), 0)
        hasChildCol = Application.WorksheetFunction.Match("Has Child", Sh.Rows(1), 0)
        nameCol = Application.WorksheetFunction.Match("English(en)", Sh.Rows(1), 0)
        If Not Intersect(Target, Sh.Columns(idCol)) Is Nothing Or _
           Not Intersect(Target, Sh.Columns(hasChildCol)) Is Nothing Or _
           Not Intersect(Target, Sh.Columns(nameCol)) Is Nothing Then
            Call UpdateDataValidation ' Updates the data validation rules
        End If
    End If
End Sub
Sub UpdateDataValidation()
    Dim parentIDCol As Integer
    parentIDCol = Application.WorksheetFunction.Match("Parent ID", Sheets("FolderCreate").Rows(1), 0)
    With Sheets("FolderCreate").Columns(parentIDCol).Validation
        .Delete
        .Add Type:=xlValidateList, AlertStyle:=xlValidAlertStop, Formula1:="='MacroRef'!B:B"
    End With
End Sub
Conclusion
This approach ensures that your data validation dynamically adjusts to column changes and remains consistent regardless of how the "FolderCreate" sheet is modified. It leverages both non-VBA and VBA techniques to maintain robust and flexible data integrity in your Excel workbook.</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<sst xmlns="http://schemas.openxmlformats.org/spreadsheetml/2006/main" count="466" uniqueCount="298">
  <si>
    <t>Key</t>
  </si>
  <si>
    <t>Id</t>
  </si>
  <si>
    <t>Shared Comments</t>
  </si>
  <si>
    <t>Catalan(ca)</t>
  </si>
  <si>
    <t>Catalan(ca) Comments</t>
  </si>
  <si>
    <t>English(en)</t>
  </si>
  <si>
    <t>English(en) Comments</t>
  </si>
  <si>
    <t>Carpetas</t>
  </si>
  <si>
    <t>Folders</t>
  </si>
  <si>
    <t>MACRO ENABLED</t>
  </si>
  <si>
    <t>lab</t>
  </si>
  <si>
    <t>Welcome to ReVamp Audio</t>
  </si>
  <si>
    <t>FOLDERS_L</t>
  </si>
  <si>
    <t>FOLDERS_I</t>
  </si>
  <si>
    <t>REVAMP_T</t>
  </si>
  <si>
    <t>REVAMP_L</t>
  </si>
  <si>
    <t>REVAMP_I</t>
  </si>
  <si>
    <t>FOLDERS_T</t>
  </si>
  <si>
    <t>Revamp</t>
  </si>
  <si>
    <t>A pre populated file directory structure.</t>
  </si>
  <si>
    <t>CLIPS_T</t>
  </si>
  <si>
    <t>CLIPS_L</t>
  </si>
  <si>
    <t>CLIPS_I</t>
  </si>
  <si>
    <t>Clips</t>
  </si>
  <si>
    <t>SAMPLE_RATE_T</t>
  </si>
  <si>
    <t>SAMPLE_RATE_L</t>
  </si>
  <si>
    <t>SAMPLE_RATE_I</t>
  </si>
  <si>
    <t>Sample Rate</t>
  </si>
  <si>
    <t>Audio snapshots per second.</t>
  </si>
  <si>
    <t>An audio optimisation tool.\n\n* Quickly create an audio folder structure.\n\tOptionally include royalty-free samples.\n* Batch filter all clips in project by their import settings\n&amp; sample rate</t>
  </si>
  <si>
    <t>Line break: Alt + Enter
paragraph : 2 x  Alt + Enter
* as needed for bullet points</t>
  </si>
  <si>
    <t>Check toggles to include desired directories.\n\n* Add Samples: Choose folders and audio clips to add to project.\n\n* Included samples can be replaced with your own clips.\n\n* Preexisting folder data will not be overwritten.</t>
  </si>
  <si>
    <t>Batch view Audio Clip settings.</t>
  </si>
  <si>
    <t>96 kHz &amp; above: studio recording and manipulation.\n\n48kHz:  perfect audio quality (@24 bit).\n\n44.1kHz: perfectly acceptable (@16bit).</t>
  </si>
  <si>
    <t>Sound Type</t>
  </si>
  <si>
    <t>Description</t>
  </si>
  <si>
    <t>Load Type</t>
  </si>
  <si>
    <t>Compression Format</t>
  </si>
  <si>
    <t>Decompress on Load</t>
  </si>
  <si>
    <t>ADPCM</t>
  </si>
  <si>
    <t>Compressed In Memory</t>
  </si>
  <si>
    <t>Streaming</t>
  </si>
  <si>
    <t>Vorbis</t>
  </si>
  <si>
    <t xml:space="preserve"> Sound Type                  </t>
  </si>
  <si>
    <t xml:space="preserve"> Description                                                      </t>
  </si>
  <si>
    <t xml:space="preserve"> Load Type           </t>
  </si>
  <si>
    <t xml:space="preserve"> Compression Format</t>
  </si>
  <si>
    <t xml:space="preserve"> Decompress on Load  </t>
  </si>
  <si>
    <t xml:space="preserve"> ADPCM</t>
  </si>
  <si>
    <t xml:space="preserve"> Compressed In Memory</t>
  </si>
  <si>
    <t xml:space="preserve"> Streaming          </t>
  </si>
  <si>
    <t xml:space="preserve"> Vorbis</t>
  </si>
  <si>
    <t xml:space="preserve">weapon ~ footsteps ~ ui clicks         </t>
  </si>
  <si>
    <t>announcer voices ~ alert tones</t>
  </si>
  <si>
    <t xml:space="preserve"> Background  </t>
  </si>
  <si>
    <t xml:space="preserve"> Periodical    </t>
  </si>
  <si>
    <t xml:space="preserve"> Frequently Played </t>
  </si>
  <si>
    <t xml:space="preserve">weapon ~ footsteps ~ ui clicks        </t>
  </si>
  <si>
    <t>Long-duration background music or ambient environments</t>
  </si>
  <si>
    <t>BACKGROUND_DESCRIPTION</t>
  </si>
  <si>
    <t>PERIODICAL_DESCRIPTION</t>
  </si>
  <si>
    <t>Formats:\n\nMP3: usually longer audio files\n\t~ environment sounds\n\t~ music\n\t~ dialogue\n\nWAV: Avoids runtime decompression overhead.\n\n\tSee quick setting table.</t>
  </si>
  <si>
    <t>SOUNDTYPE_CELL</t>
  </si>
  <si>
    <t>FREQUENTLYPLAYED</t>
  </si>
  <si>
    <t>PERIODICAL_CELL</t>
  </si>
  <si>
    <t>BACKGROUND_CELL</t>
  </si>
  <si>
    <t>DESCRIPTION_CELL</t>
  </si>
  <si>
    <t>FREQUENTLYPLAYED_DESCRIPTION</t>
  </si>
  <si>
    <t>COMPRESSION_CELL</t>
  </si>
  <si>
    <t>FREQUENTLYPLAYED_COMP</t>
  </si>
  <si>
    <t>PERIODICAL_COMP</t>
  </si>
  <si>
    <t>BACKGROUND_COMP</t>
  </si>
  <si>
    <t>LOADTYPE_CELL</t>
  </si>
  <si>
    <t>FREQUENTLYPLAYED_STYPE</t>
  </si>
  <si>
    <t>Frequently Played</t>
  </si>
  <si>
    <t>FREQUENTLYPLAYED_LOADTYPE</t>
  </si>
  <si>
    <t>PERIODICAL_STYPE</t>
  </si>
  <si>
    <t>BACKGROUND_STYPE</t>
  </si>
  <si>
    <t>BACKGROUND_LOADTYPE</t>
  </si>
  <si>
    <t>PERIODICAL_LOADTYPE</t>
  </si>
  <si>
    <t>Periodical</t>
  </si>
  <si>
    <t>Background</t>
  </si>
  <si>
    <t xml:space="preserve">Decompress on Load </t>
  </si>
  <si>
    <t>Line break: Alt + Enter paragraph : 2 x  Alt + Enter * as needed for bullet points</t>
  </si>
  <si>
    <t>FOLDER_DESTRUCTION</t>
  </si>
  <si>
    <t>FOLDER_ELECTRO_MAGNETIC</t>
  </si>
  <si>
    <t>FOLDER_ENVIRONMENT</t>
  </si>
  <si>
    <t>FOLDER_FX</t>
  </si>
  <si>
    <t>FOLDER_FOOTSTEPS</t>
  </si>
  <si>
    <t>FOLDER_PARTICLES</t>
  </si>
  <si>
    <t>FOLDER_SPELLS</t>
  </si>
  <si>
    <t>FOLDER_WHOOSH</t>
  </si>
  <si>
    <t>FOLDER_TEMP</t>
  </si>
  <si>
    <t>FOLDER_MONO</t>
  </si>
  <si>
    <t>FOLDER_STEREO</t>
  </si>
  <si>
    <t>FOLDER_UI</t>
  </si>
  <si>
    <t>FOLDER_CLICKS</t>
  </si>
  <si>
    <t>FOLDER_DEPRESS</t>
  </si>
  <si>
    <t>FOLDER_VEHICLES</t>
  </si>
  <si>
    <t>FOLDER_ENGINES</t>
  </si>
  <si>
    <t>FOLDER_MUSIC</t>
  </si>
  <si>
    <t>FOLDER_VOICES</t>
  </si>
  <si>
    <t>FOLDER_WEAPONS</t>
  </si>
  <si>
    <t>FOLDER_EXPLOSIONS</t>
  </si>
  <si>
    <t>FOLDER_GUNS</t>
  </si>
  <si>
    <t>FOLDER_IMPACTS</t>
  </si>
  <si>
    <t>FOLDER_SWORD</t>
  </si>
  <si>
    <t>Creatures</t>
  </si>
  <si>
    <t>Destruction</t>
  </si>
  <si>
    <t>Drone</t>
  </si>
  <si>
    <t>Electro Magnetic</t>
  </si>
  <si>
    <t>Environment</t>
  </si>
  <si>
    <t>Ambience</t>
  </si>
  <si>
    <t>Nature</t>
  </si>
  <si>
    <t>Fx</t>
  </si>
  <si>
    <t>Doors</t>
  </si>
  <si>
    <t>Foley</t>
  </si>
  <si>
    <t>Footsteps</t>
  </si>
  <si>
    <t>Money</t>
  </si>
  <si>
    <t>Particles</t>
  </si>
  <si>
    <t>Spells</t>
  </si>
  <si>
    <t>Whoosh</t>
  </si>
  <si>
    <t>Loops</t>
  </si>
  <si>
    <t>Temp</t>
  </si>
  <si>
    <t>Mono</t>
  </si>
  <si>
    <t>Stereo</t>
  </si>
  <si>
    <t>Ui</t>
  </si>
  <si>
    <t>Clicks</t>
  </si>
  <si>
    <t>Depress</t>
  </si>
  <si>
    <t>Hover</t>
  </si>
  <si>
    <t>Vehicles</t>
  </si>
  <si>
    <t>Engines</t>
  </si>
  <si>
    <t>Music</t>
  </si>
  <si>
    <t>Pads</t>
  </si>
  <si>
    <t>Songs</t>
  </si>
  <si>
    <t>Voices</t>
  </si>
  <si>
    <t>Dialogues</t>
  </si>
  <si>
    <t>Weapons</t>
  </si>
  <si>
    <t>Explosions</t>
  </si>
  <si>
    <t>Guns</t>
  </si>
  <si>
    <t>Impacts</t>
  </si>
  <si>
    <t>Hand Combat</t>
  </si>
  <si>
    <t>Sword</t>
  </si>
  <si>
    <t>Aaa</t>
  </si>
  <si>
    <t>Zzz</t>
  </si>
  <si>
    <t>Parent ID</t>
  </si>
  <si>
    <t>Has Child</t>
  </si>
  <si>
    <t>NOTE: A1:D9</t>
  </si>
  <si>
    <t>FOLDER_SCREAMS</t>
  </si>
  <si>
    <t>Screams</t>
  </si>
  <si>
    <t>FOLDER_SIZZLE</t>
  </si>
  <si>
    <t>Sizzle</t>
  </si>
  <si>
    <t>FOLDER_ZOMBIE</t>
  </si>
  <si>
    <t>Zombie</t>
  </si>
  <si>
    <t>FOLDER_STONEFALL</t>
  </si>
  <si>
    <t>Stone Fall</t>
  </si>
  <si>
    <t>FOLDER_GUNSCIFI</t>
  </si>
  <si>
    <t>Gun Sci Fi</t>
  </si>
  <si>
    <t>FOLDER_SCAN</t>
  </si>
  <si>
    <t>Scan</t>
  </si>
  <si>
    <t>FOLDER_MORTAR</t>
  </si>
  <si>
    <t>Mortar</t>
  </si>
  <si>
    <t>FOLDER_URBAN</t>
  </si>
  <si>
    <t>Urban</t>
  </si>
  <si>
    <t>FOLDER_GRENADELAUNCHER</t>
  </si>
  <si>
    <t>Grenade Launcher</t>
  </si>
  <si>
    <t>Reload</t>
  </si>
  <si>
    <t>FOLDER_ELECTRO_TRANSMIT</t>
  </si>
  <si>
    <t>FOLDER_FOOTSTEPS_ROBOT</t>
  </si>
  <si>
    <t>Cyber</t>
  </si>
  <si>
    <t>FOLDER_ELECTRO_STATIC</t>
  </si>
  <si>
    <t>Electro Static</t>
  </si>
  <si>
    <t>FOLDER_EXPL_WATER</t>
  </si>
  <si>
    <t>Water</t>
  </si>
  <si>
    <t>FOLDER_SWISH</t>
  </si>
  <si>
    <t>Swish</t>
  </si>
  <si>
    <t>Frozen</t>
  </si>
  <si>
    <t>Robot</t>
  </si>
  <si>
    <t>FOLDER_RIVER</t>
  </si>
  <si>
    <t>River</t>
  </si>
  <si>
    <t>FOLDER_TENSE</t>
  </si>
  <si>
    <t>Tense</t>
  </si>
  <si>
    <t>FOLDER_THUNDER</t>
  </si>
  <si>
    <t>Thunder</t>
  </si>
  <si>
    <t>FOLDER_ELECTRO_DATA</t>
  </si>
  <si>
    <t>Data Corruption</t>
  </si>
  <si>
    <t>Transmit</t>
  </si>
  <si>
    <t>FOLDER_RAIN</t>
  </si>
  <si>
    <t>Rain</t>
  </si>
  <si>
    <t>FOLDER_RISE</t>
  </si>
  <si>
    <t>Rise</t>
  </si>
  <si>
    <t>Stinger</t>
  </si>
  <si>
    <t>FOLDER_JUNGLE</t>
  </si>
  <si>
    <t>Jungle</t>
  </si>
  <si>
    <t>Ice</t>
  </si>
  <si>
    <t>FOLDER_IMPACTS_ICE</t>
  </si>
  <si>
    <t>FOLDER_8-BIT</t>
  </si>
  <si>
    <t>8-Bit</t>
  </si>
  <si>
    <t>FOLDER_8-BIT_EXPLOSION</t>
  </si>
  <si>
    <t>Big Explosion</t>
  </si>
  <si>
    <t>FOLDER_8-BIT_BIRDS</t>
  </si>
  <si>
    <t>FOLDER_8-BIT_SPELL</t>
  </si>
  <si>
    <t>FOLDER_8-BIT_PICK_UP</t>
  </si>
  <si>
    <t>Birds</t>
  </si>
  <si>
    <t>Pick up</t>
  </si>
  <si>
    <t>Spell</t>
  </si>
  <si>
    <t>FOLDER_ELECTRO_WHOOSH</t>
  </si>
  <si>
    <t>Whoosh_E</t>
  </si>
  <si>
    <t>FOLDER_FOOTSTEPS_SNOW</t>
  </si>
  <si>
    <t>Snow</t>
  </si>
  <si>
    <t>FOLDER_FOOTSTEPS_GRASS</t>
  </si>
  <si>
    <t>Grass</t>
  </si>
  <si>
    <t>FOLDER_IMPACTS_LAZER</t>
  </si>
  <si>
    <t>Lazer</t>
  </si>
  <si>
    <t>FOLDER_HAND_LASER_GUN</t>
  </si>
  <si>
    <t>FOLDER_HAND_LASER_ROCKET</t>
  </si>
  <si>
    <t>Laser Gun</t>
  </si>
  <si>
    <t>Laser Rocket</t>
  </si>
  <si>
    <t>FOLDER_8-BIT_COLLECT</t>
  </si>
  <si>
    <t>Collect</t>
  </si>
  <si>
    <t>FOLDER_8-BIT_LIFE</t>
  </si>
  <si>
    <t>Life</t>
  </si>
  <si>
    <t>FOLDER_8-BIT_POWER_UP</t>
  </si>
  <si>
    <t>Power up</t>
  </si>
  <si>
    <t>FOLDER_8-BIT_TELEPORT</t>
  </si>
  <si>
    <t>Teleport</t>
  </si>
  <si>
    <t>FOLDER_ELECTRO_CABLE</t>
  </si>
  <si>
    <t>Cable</t>
  </si>
  <si>
    <t>Switch</t>
  </si>
  <si>
    <t>FOLDER_UI_CYBER</t>
  </si>
  <si>
    <t>Ease</t>
  </si>
  <si>
    <t>Ping</t>
  </si>
  <si>
    <t>Swipe</t>
  </si>
  <si>
    <t>Flutter</t>
  </si>
  <si>
    <t>FOLDER_RUMBLE</t>
  </si>
  <si>
    <t>Rumble</t>
  </si>
  <si>
    <t>FOLDER_AUTO</t>
  </si>
  <si>
    <t>Auto</t>
  </si>
  <si>
    <t>Semi</t>
  </si>
  <si>
    <t>FOLDER_BEAM</t>
  </si>
  <si>
    <t>Beam</t>
  </si>
  <si>
    <t>_FOLDER_AAA</t>
  </si>
  <si>
    <t>_FOLDER_BACKGROUND</t>
  </si>
  <si>
    <t>_FOLDER_CREATURES</t>
  </si>
  <si>
    <t>_FOLDER_ZZZ</t>
  </si>
  <si>
    <t>_FOLDER_DRONE</t>
  </si>
  <si>
    <t>_FOLDER_AMBIENCE</t>
  </si>
  <si>
    <t>_FOLDER_NATURE</t>
  </si>
  <si>
    <t>_FOLDER_FOOTSTEPS_FROZEN</t>
  </si>
  <si>
    <t>_FOLDER_DOORS</t>
  </si>
  <si>
    <t>_FOLDER_FOLEY</t>
  </si>
  <si>
    <t>_FOLDER_MONEY</t>
  </si>
  <si>
    <t>_FOLDER_STINGER</t>
  </si>
  <si>
    <t>_FOLDER_LOOPS</t>
  </si>
  <si>
    <t>_FOLDER_PADS</t>
  </si>
  <si>
    <t>_FOLDER_SONGS</t>
  </si>
  <si>
    <t>_FOLDER_EASE</t>
  </si>
  <si>
    <t>_FOLDER_FLUTTER</t>
  </si>
  <si>
    <t>_FOLDER_HOVER</t>
  </si>
  <si>
    <t>_FOLDER_PING</t>
  </si>
  <si>
    <t>_FOLDER_SWIPE</t>
  </si>
  <si>
    <t>_FOLDER_SWITCH</t>
  </si>
  <si>
    <t>_FOLDER_DIALOGUES</t>
  </si>
  <si>
    <t>_FOLDER_HAND_COMBAT</t>
  </si>
  <si>
    <t>_FOLDER_RELOAD</t>
  </si>
  <si>
    <t>_FOLDER_SEMI</t>
  </si>
  <si>
    <t>CREDIT_INFO</t>
  </si>
  <si>
    <t>Audio samples taken from:</t>
  </si>
  <si>
    <t>CREDIT_VISIT_SITE</t>
  </si>
  <si>
    <t>Visit Site</t>
  </si>
  <si>
    <t>Revamp Audio Folders</t>
  </si>
  <si>
    <t>* Quickly create an audio folder structure.\n\tOptionally include royalty-free samples.\n</t>
  </si>
  <si>
    <t>CREDIT_DEVELOPED</t>
  </si>
  <si>
    <t xml:space="preserve">Developed by </t>
  </si>
  <si>
    <t>CREDIT_VERSION</t>
  </si>
  <si>
    <t>CREDIT_COMPILED</t>
  </si>
  <si>
    <t>Compiled from</t>
  </si>
  <si>
    <t>CREDIT_ARTISTS</t>
  </si>
  <si>
    <t>Artists:</t>
  </si>
  <si>
    <t>Select all</t>
  </si>
  <si>
    <t>BTN_SELECT-ALL</t>
  </si>
  <si>
    <t>BTN_SELECT-NONE</t>
  </si>
  <si>
    <t>Select none</t>
  </si>
  <si>
    <t>View Samples</t>
  </si>
  <si>
    <t>BTN_VIEW-SAMPLES</t>
  </si>
  <si>
    <t>BTN_CREATE</t>
  </si>
  <si>
    <t>Create</t>
  </si>
  <si>
    <t>BTN_SELECT-ALL-SAMPLES</t>
  </si>
  <si>
    <t>BTN_SELECT-NONE-SAMPLES</t>
  </si>
  <si>
    <t>BTN_CREDITS</t>
  </si>
  <si>
    <t>Credits</t>
  </si>
  <si>
    <t>BTN_LICENSE</t>
  </si>
  <si>
    <t>License</t>
  </si>
  <si>
    <t>BTN_VIEW-FOLDERS</t>
  </si>
  <si>
    <t>View Folders</t>
  </si>
  <si>
    <t>BTN_CREATE-SAMPLES</t>
  </si>
  <si>
    <t>Frequency</t>
  </si>
  <si>
    <t>_FOLDER_FREQUENCY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</si>
</sst>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2"/>
      <color theme="1"/>
      <name val="Roboto"/>
      <family val="2"/>
    </font>
    <font>
      <sz val="12"/>
      <color theme="1"/>
      <name val="Roboto"/>
      <family val="2"/>
    </font>
    <font>
      <sz val="18"/>
      <color theme="3"/>
      <name val="Aptos Display"/>
      <family val="2"/>
      <scheme val="major"/>
    </font>
    <font>
      <b/>
      <sz val="15"/>
      <color theme="3"/>
      <name val="Roboto"/>
      <family val="2"/>
    </font>
    <font>
      <b/>
      <sz val="13"/>
      <color theme="3"/>
      <name val="Roboto"/>
      <family val="2"/>
    </font>
    <font>
      <b/>
      <sz val="11"/>
      <color theme="3"/>
      <name val="Roboto"/>
      <family val="2"/>
    </font>
    <font>
      <sz val="12"/>
      <color rgb="FF006100"/>
      <name val="Roboto"/>
      <family val="2"/>
    </font>
    <font>
      <sz val="12"/>
      <color rgb="FF9C0006"/>
      <name val="Roboto"/>
      <family val="2"/>
    </font>
    <font>
      <sz val="12"/>
      <color rgb="FF9C5700"/>
      <name val="Roboto"/>
      <family val="2"/>
    </font>
    <font>
      <sz val="12"/>
      <color rgb="FF3F3F76"/>
      <name val="Roboto"/>
      <family val="2"/>
    </font>
    <font>
      <b/>
      <sz val="12"/>
      <color rgb="FF3F3F3F"/>
      <name val="Roboto"/>
      <family val="2"/>
    </font>
    <font>
      <b/>
      <sz val="12"/>
      <color rgb="FFFA7D00"/>
      <name val="Roboto"/>
      <family val="2"/>
    </font>
    <font>
      <sz val="12"/>
      <color rgb="FFFA7D00"/>
      <name val="Roboto"/>
      <family val="2"/>
    </font>
    <font>
      <b/>
      <sz val="12"/>
      <color theme="0"/>
      <name val="Roboto"/>
      <family val="2"/>
    </font>
    <font>
      <sz val="12"/>
      <color rgb="FFFF0000"/>
      <name val="Roboto"/>
      <family val="2"/>
    </font>
    <font>
      <i/>
      <sz val="12"/>
      <color rgb="FF7F7F7F"/>
      <name val="Roboto"/>
      <family val="2"/>
    </font>
    <font>
      <b/>
      <sz val="12"/>
      <color theme="1"/>
      <name val="Roboto"/>
      <family val="2"/>
    </font>
    <font>
      <sz val="12"/>
      <color theme="0"/>
      <name val="Roboto"/>
      <family val="2"/>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89999084444715716"/>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1">
    <xf numFmtId="0" fontId="0" fillId="0" borderId="0" xfId="0"/>
    <xf numFmtId="0" fontId="0" fillId="0" borderId="0" xfId="0" applyAlignment="1">
      <alignment vertical="top"/>
    </xf>
    <xf numFmtId="0" fontId="0" fillId="0" borderId="0" xfId="0" applyAlignment="1">
      <alignment vertical="top" wrapText="1"/>
    </xf>
    <xf numFmtId="0" fontId="0" fillId="0" borderId="10" xfId="0" applyBorder="1"/>
    <xf numFmtId="0" fontId="0" fillId="0" borderId="10" xfId="0" applyBorder="1" applyAlignment="1">
      <alignment vertical="top"/>
    </xf>
    <xf numFmtId="0" fontId="0" fillId="0" borderId="10" xfId="0" applyBorder="1" applyAlignment="1">
      <alignment vertical="top" wrapText="1"/>
    </xf>
    <xf numFmtId="0" fontId="0" fillId="33" borderId="10" xfId="0" applyFill="1" applyBorder="1"/>
    <xf numFmtId="0" fontId="0" fillId="33" borderId="10" xfId="0" applyFill="1" applyBorder="1" applyAlignment="1">
      <alignment vertical="top"/>
    </xf>
    <xf numFmtId="0" fontId="0" fillId="33" borderId="10" xfId="0" applyFill="1" applyBorder="1" applyAlignment="1">
      <alignment vertical="top" wrapText="1"/>
    </xf>
    <xf numFmtId="0" fontId="0" fillId="34" borderId="10" xfId="0" applyFill="1" applyBorder="1"/>
    <xf numFmtId="0" fontId="0" fillId="34" borderId="10" xfId="0" applyFill="1" applyBorder="1" applyAlignment="1">
      <alignment vertical="top"/>
    </xf>
    <xf numFmtId="0" fontId="0" fillId="35" borderId="10" xfId="0" applyFill="1" applyBorder="1"/>
    <xf numFmtId="0" fontId="0" fillId="35" borderId="10" xfId="0" applyFill="1" applyBorder="1" applyAlignment="1">
      <alignment vertical="top"/>
    </xf>
    <xf numFmtId="0" fontId="0" fillId="36" borderId="10" xfId="0" applyFill="1" applyBorder="1"/>
    <xf numFmtId="0" fontId="0" fillId="36" borderId="10" xfId="0" applyFill="1" applyBorder="1" applyAlignment="1">
      <alignment vertical="top"/>
    </xf>
    <xf numFmtId="0" fontId="0" fillId="35" borderId="10" xfId="0" applyFill="1" applyBorder="1" applyAlignment="1">
      <alignment vertical="top" wrapText="1"/>
    </xf>
    <xf numFmtId="0" fontId="0" fillId="0" borderId="0" xfId="0" applyAlignment="1">
      <alignment horizontal="center" vertical="center"/>
    </xf>
    <xf numFmtId="0" fontId="0" fillId="35" borderId="0" xfId="0" applyFill="1"/>
    <xf numFmtId="0" fontId="0" fillId="37" borderId="10" xfId="0" applyFill="1" applyBorder="1"/>
    <xf numFmtId="0" fontId="0" fillId="38" borderId="0" xfId="0" applyFill="1" applyAlignment="1">
      <alignment vertical="top"/>
    </xf>
    <xf numFmtId="0" fontId="0" fillId="38" borderId="0" xfId="0" applyFill="1"/>
    <xf numFmtId="0" fontId="0" fillId="38" borderId="0" xfId="0" applyFill="1" applyAlignment="1">
      <alignment horizontal="center" vertical="center"/>
    </xf>
    <xf numFmtId="0" fontId="0" fillId="35" borderId="0" xfId="0" applyFill="1" applyAlignment="1">
      <alignment horizontal="center" vertical="center"/>
    </xf>
    <xf numFmtId="0" fontId="0" fillId="34" borderId="0" xfId="0" applyFill="1" applyAlignment="1">
      <alignment vertical="top"/>
    </xf>
    <xf numFmtId="0" fontId="0" fillId="34" borderId="0" xfId="0" applyFill="1"/>
    <xf numFmtId="0" fontId="0" fillId="34" borderId="0" xfId="0" applyFill="1" applyAlignment="1">
      <alignment horizontal="center" vertical="center"/>
    </xf>
    <xf numFmtId="0" fontId="0" fillId="34" borderId="0" xfId="0" applyFill="1" applyAlignment="1">
      <alignment vertical="top" wrapText="1"/>
    </xf>
    <xf numFmtId="0" fontId="0" fillId="36" borderId="0" xfId="0" applyFill="1" applyAlignment="1">
      <alignment vertical="top"/>
    </xf>
    <xf numFmtId="0" fontId="0" fillId="36" borderId="0" xfId="0" applyFill="1"/>
    <xf numFmtId="0" fontId="0" fillId="36" borderId="0" xfId="0" applyFill="1" applyAlignment="1">
      <alignment horizontal="center" vertical="center"/>
    </xf>
    <xf numFmtId="0" fontId="0" fillId="36" borderId="0" xfId="0" applyFill="1" applyAlignment="1">
      <alignment vertical="top"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eetMetadata" Target="metadata.xml"/></Relationships>
</file>

<file path=xl/persons/person.xml><?xml version="1.0" encoding="utf-8"?>
<personList xmlns="http://schemas.microsoft.com/office/spreadsheetml/2018/threadedcomments" xmlns:x="http://schemas.openxmlformats.org/spreadsheetml/2006/main">
  <person displayName="Mark Busch" id="{E7322E13-401A-4647-84C2-02A7B8EC97B8}" userId="115b561e7869c244"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E1" dT="2024-05-05T14:00:05.96" personId="{E7322E13-401A-4647-84C2-02A7B8EC97B8}" id="{352E4222-C850-4ED9-9595-055DA2AC653C}">
    <text>Parent Folder Selector
Step 1: Setting Up the "MacroRef" Sheet
In the "MacroRef" sheet, we'll extract the IDs and folder names of rows marked as having children from the "FolderCreate" sheet. We'll use Excel formulas that reference column headers to ensure it remains robust against column reordering.
Formula to Pull IDs and Names into "MacroRef":
Get Column Numbers:
First, find column indices based on header names in "FolderCreate". In "MacroRef", you might set this up in cells A1 and B1 for easier reference:
excel
Copy code
A1: =MATCH("Id", 'FolderCreate'!1:1, 0)   // Finds column number for "Id"
B1: =MATCH("English(en)", 'FolderCreate'!1:1, 0)  // Finds column number for "English(en)"
Extract IDs and Names:
Use these indices to pull data for rows that have "Has Child" marked as "1". Assume that the "Has Child" column is also dynamically found:
excel
Copy code
C1: =MATCH("Has Child", 'FolderCreate'!1:1, 0)  // Finds column number for "Has Child"
In "MacroRef" starting from cell A2 for IDs and B2 for Names:
excel
Copy code
A2: =FILTER(INDEX('FolderCreate'!1:1048576, 0, $A$1), INDEX('FolderCreate'!1:1048576, 0, $C$1) = 1)
B2: =FILTER(INDEX('FolderCreate'!1:1048576, 0, $B$1), INDEX('FolderCreate'!1:1048576, 0, $C$1) = 1)
Step 2: Data Validation Setup in "FolderCreate"
Set up data validation for the "Parent ID" column in "FolderCreate" using the list from "MacroRef":
Set Data Validation:
First, dynamically find the "Parent ID" column:
excel
Copy code
D1: =MATCH("Parent ID", 'FolderCreate'!1:1, 0)  // In "FolderCreate", to find column number for "Parent ID"
Apply data validation using the name list from "MacroRef". For example, assuming "Parent ID" is found in Column D dynamically:
excel
Copy code
Select the range in 'FolderCreate' where "Parent ID" should have the dropdown (e.g., D2:D100).
Go to Data &gt; Data Validation.
Set the rule to "List" and source to `='MacroRef'!B:B`
Step 3: VBA Macro for Dynamic Updates
Write a VBA macro that updates data validation rules based on changes in either sheet:
vba
Copy code
Private Sub Workbook_SheetChange(ByVal Sh As Object, ByVal Target As Range)
    Dim idCol As Integer, hasChildCol As Integer, nameCol As Integer
    If Sh.Name = "FolderCreate" Then
        idCol = Application.WorksheetFunction.Match("Id", Sh.Rows(1), 0)
        hasChildCol = Application.WorksheetFunction.Match("Has Child", Sh.Rows(1), 0)
        nameCol = Application.WorksheetFunction.Match("English(en)", Sh.Rows(1), 0)
        If Not Intersect(Target, Sh.Columns(idCol)) Is Nothing Or _
           Not Intersect(Target, Sh.Columns(hasChildCol)) Is Nothing Or _
           Not Intersect(Target, Sh.Columns(nameCol)) Is Nothing Then
            Call UpdateDataValidation ' Updates the data validation rules
        End If
    End If
End Sub
Sub UpdateDataValidation()
    Dim parentIDCol As Integer
    parentIDCol = Application.WorksheetFunction.Match("Parent ID", Sheets("FolderCreate").Rows(1), 0)
    With Sheets("FolderCreate").Columns(parentIDCol).Validation
        .Delete
        .Add Type:=xlValidateList, AlertStyle:=xlValidAlertStop, Formula1:="='MacroRef'!B:B"
    End With
End Sub
Conclusion
This approach ensures that your data validation dynamically adjusts to column changes and remains consistent regardless of how the "FolderCreate" sheet is modified. It leverages both non-VBA and VBA techniques to maintain robust and flexible data integrity in your Excel workbook.</text>
  </threadedComment>
</ThreadedComment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14"/>
  <sheetViews>
    <sheetView workbookViewId="0">
      <selection sqref="A1:XFD4"/>
    </sheetView>
  </sheetViews>
  <sheetFormatPr defaultColWidth="26.77734375" defaultRowHeight="15.75" x14ac:dyDescent="0.25"/>
  <cols>
    <col min="1" max="1" width="26.77734375" style="1"/>
    <col min="2" max="2" width="7.33203125" customWidth="1"/>
    <col min="3" max="3" width="26.77734375" style="1"/>
    <col min="4" max="5" width="26.77734375" customWidth="1"/>
    <col min="6" max="6" width="46.88671875" style="1" customWidth="1"/>
  </cols>
  <sheetData>
    <row r="1" spans="1:7" x14ac:dyDescent="0.25">
      <c r="A1" s="1" t="s">
        <v>0</v>
      </c>
      <c r="B1" t="s">
        <v>1</v>
      </c>
      <c r="C1" s="1" t="s">
        <v>2</v>
      </c>
      <c r="D1" t="s">
        <v>3</v>
      </c>
      <c r="E1" t="s">
        <v>4</v>
      </c>
      <c r="F1" s="1" t="s">
        <v>5</v>
      </c>
      <c r="G1" t="s">
        <v>6</v>
      </c>
    </row>
    <row r="2" spans="1:7" x14ac:dyDescent="0.25">
      <c r="A2" s="1" t="s">
        <v>14</v>
      </c>
      <c r="F2" s="1" t="s">
        <v>18</v>
      </c>
    </row>
    <row r="3" spans="1:7" x14ac:dyDescent="0.25">
      <c r="A3" s="1" t="s">
        <v>15</v>
      </c>
      <c r="C3" s="1" t="s">
        <v>9</v>
      </c>
      <c r="F3" s="1" t="s">
        <v>11</v>
      </c>
      <c r="G3" t="s">
        <v>10</v>
      </c>
    </row>
    <row r="4" spans="1:7" ht="63" x14ac:dyDescent="0.25">
      <c r="A4" s="1" t="s">
        <v>16</v>
      </c>
      <c r="C4" s="2" t="s">
        <v>30</v>
      </c>
      <c r="F4" s="2" t="s">
        <v>29</v>
      </c>
    </row>
    <row r="5" spans="1:7" x14ac:dyDescent="0.25">
      <c r="A5" s="1" t="s">
        <v>17</v>
      </c>
      <c r="F5" s="2" t="s">
        <v>8</v>
      </c>
    </row>
    <row r="6" spans="1:7" x14ac:dyDescent="0.25">
      <c r="A6" s="1" t="s">
        <v>12</v>
      </c>
      <c r="B6">
        <v>201474813952</v>
      </c>
      <c r="D6" t="s">
        <v>7</v>
      </c>
      <c r="F6" s="1" t="s">
        <v>19</v>
      </c>
    </row>
    <row r="7" spans="1:7" ht="78.75" x14ac:dyDescent="0.25">
      <c r="A7" s="1" t="s">
        <v>13</v>
      </c>
      <c r="F7" s="2" t="s">
        <v>31</v>
      </c>
    </row>
    <row r="8" spans="1:7" x14ac:dyDescent="0.25">
      <c r="A8" s="1" t="s">
        <v>20</v>
      </c>
      <c r="F8" s="1" t="s">
        <v>23</v>
      </c>
    </row>
    <row r="9" spans="1:7" x14ac:dyDescent="0.25">
      <c r="A9" s="1" t="s">
        <v>21</v>
      </c>
      <c r="F9" s="1" t="s">
        <v>32</v>
      </c>
    </row>
    <row r="10" spans="1:7" x14ac:dyDescent="0.25">
      <c r="A10" s="1" t="s">
        <v>22</v>
      </c>
      <c r="F10" s="1" t="s">
        <v>61</v>
      </c>
    </row>
    <row r="12" spans="1:7" x14ac:dyDescent="0.25">
      <c r="A12" s="1" t="s">
        <v>24</v>
      </c>
      <c r="F12" s="1" t="s">
        <v>27</v>
      </c>
    </row>
    <row r="13" spans="1:7" x14ac:dyDescent="0.25">
      <c r="A13" s="1" t="s">
        <v>25</v>
      </c>
      <c r="F13" s="1" t="s">
        <v>28</v>
      </c>
    </row>
    <row r="14" spans="1:7" ht="47.25" x14ac:dyDescent="0.25">
      <c r="A14" s="1" t="s">
        <v>26</v>
      </c>
      <c r="F14" s="2" t="s">
        <v>33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10520-8ED7-4828-8D59-AFB24C10EFA5}">
  <sheetPr codeName="Sheet2"/>
  <dimension ref="A1:G43"/>
  <sheetViews>
    <sheetView workbookViewId="0">
      <selection activeCell="C4" sqref="C4"/>
    </sheetView>
  </sheetViews>
  <sheetFormatPr defaultColWidth="26.77734375" defaultRowHeight="15.75" x14ac:dyDescent="0.25"/>
  <cols>
    <col min="1" max="1" width="43.44140625" style="1" customWidth="1"/>
    <col min="2" max="2" width="29" customWidth="1"/>
    <col min="3" max="3" width="26.77734375" style="1"/>
    <col min="4" max="5" width="26.77734375" hidden="1" customWidth="1"/>
    <col min="6" max="6" width="62.77734375" style="2" customWidth="1"/>
  </cols>
  <sheetData>
    <row r="1" spans="1:7" s="3" customFormat="1" x14ac:dyDescent="0.25">
      <c r="A1" s="4" t="s">
        <v>0</v>
      </c>
      <c r="B1" s="3" t="s">
        <v>1</v>
      </c>
      <c r="C1" s="4" t="s">
        <v>2</v>
      </c>
      <c r="D1" s="3" t="s">
        <v>3</v>
      </c>
      <c r="E1" s="3" t="s">
        <v>4</v>
      </c>
      <c r="F1" s="5" t="s">
        <v>5</v>
      </c>
      <c r="G1" s="3" t="s">
        <v>6</v>
      </c>
    </row>
    <row r="2" spans="1:7" s="6" customFormat="1" x14ac:dyDescent="0.25">
      <c r="A2" s="6" t="s">
        <v>62</v>
      </c>
      <c r="C2" s="7"/>
      <c r="F2" s="6" t="s">
        <v>34</v>
      </c>
    </row>
    <row r="3" spans="1:7" s="6" customFormat="1" x14ac:dyDescent="0.25">
      <c r="A3" s="6" t="s">
        <v>73</v>
      </c>
      <c r="C3" s="7" t="s">
        <v>9</v>
      </c>
      <c r="F3" s="6" t="s">
        <v>74</v>
      </c>
    </row>
    <row r="4" spans="1:7" s="6" customFormat="1" x14ac:dyDescent="0.25">
      <c r="A4" s="6" t="s">
        <v>76</v>
      </c>
      <c r="C4" s="7" t="s">
        <v>83</v>
      </c>
      <c r="F4" s="6" t="s">
        <v>80</v>
      </c>
    </row>
    <row r="5" spans="1:7" s="6" customFormat="1" x14ac:dyDescent="0.25">
      <c r="A5" s="6" t="s">
        <v>77</v>
      </c>
      <c r="C5" s="7"/>
      <c r="D5" s="6" t="s">
        <v>7</v>
      </c>
      <c r="F5" s="6" t="s">
        <v>81</v>
      </c>
    </row>
    <row r="6" spans="1:7" s="9" customFormat="1" x14ac:dyDescent="0.25">
      <c r="A6" s="9" t="s">
        <v>66</v>
      </c>
      <c r="C6" s="10"/>
      <c r="F6" s="9" t="s">
        <v>35</v>
      </c>
    </row>
    <row r="7" spans="1:7" s="9" customFormat="1" x14ac:dyDescent="0.25">
      <c r="A7" s="9" t="s">
        <v>67</v>
      </c>
      <c r="C7" s="10"/>
      <c r="F7" s="9" t="s">
        <v>57</v>
      </c>
    </row>
    <row r="8" spans="1:7" s="9" customFormat="1" x14ac:dyDescent="0.25">
      <c r="A8" s="9" t="s">
        <v>60</v>
      </c>
      <c r="C8" s="10"/>
      <c r="F8" s="9" t="s">
        <v>53</v>
      </c>
    </row>
    <row r="9" spans="1:7" s="9" customFormat="1" x14ac:dyDescent="0.25">
      <c r="A9" s="9" t="s">
        <v>59</v>
      </c>
      <c r="C9" s="10"/>
      <c r="F9" s="9" t="s">
        <v>58</v>
      </c>
    </row>
    <row r="10" spans="1:7" s="13" customFormat="1" x14ac:dyDescent="0.25">
      <c r="A10" s="13" t="s">
        <v>68</v>
      </c>
      <c r="C10" s="14"/>
      <c r="F10" s="13" t="s">
        <v>37</v>
      </c>
    </row>
    <row r="11" spans="1:7" s="13" customFormat="1" x14ac:dyDescent="0.25">
      <c r="A11" s="13" t="s">
        <v>69</v>
      </c>
      <c r="C11" s="14"/>
      <c r="F11" s="13" t="s">
        <v>39</v>
      </c>
    </row>
    <row r="12" spans="1:7" s="13" customFormat="1" x14ac:dyDescent="0.25">
      <c r="A12" s="13" t="s">
        <v>70</v>
      </c>
      <c r="C12" s="14"/>
      <c r="F12" s="13" t="s">
        <v>39</v>
      </c>
    </row>
    <row r="13" spans="1:7" s="13" customFormat="1" x14ac:dyDescent="0.25">
      <c r="A13" s="13" t="s">
        <v>71</v>
      </c>
      <c r="C13" s="14"/>
      <c r="F13" s="13" t="s">
        <v>42</v>
      </c>
    </row>
    <row r="14" spans="1:7" s="11" customFormat="1" x14ac:dyDescent="0.25">
      <c r="A14" s="11" t="s">
        <v>72</v>
      </c>
      <c r="C14" s="12"/>
      <c r="F14" s="11" t="s">
        <v>36</v>
      </c>
    </row>
    <row r="15" spans="1:7" s="11" customFormat="1" x14ac:dyDescent="0.25">
      <c r="A15" s="11" t="s">
        <v>75</v>
      </c>
      <c r="C15" s="12"/>
      <c r="F15" s="11" t="s">
        <v>82</v>
      </c>
    </row>
    <row r="16" spans="1:7" s="11" customFormat="1" x14ac:dyDescent="0.25">
      <c r="A16" s="11" t="s">
        <v>79</v>
      </c>
      <c r="C16" s="12"/>
      <c r="F16" s="11" t="s">
        <v>40</v>
      </c>
    </row>
    <row r="17" spans="1:6" s="11" customFormat="1" x14ac:dyDescent="0.25">
      <c r="A17" s="12" t="s">
        <v>78</v>
      </c>
      <c r="C17" s="12"/>
      <c r="F17" s="15" t="s">
        <v>41</v>
      </c>
    </row>
    <row r="22" spans="1:6" x14ac:dyDescent="0.25">
      <c r="A22" s="4" t="s">
        <v>0</v>
      </c>
      <c r="B22" t="s">
        <v>5</v>
      </c>
      <c r="C22"/>
    </row>
    <row r="23" spans="1:6" x14ac:dyDescent="0.25">
      <c r="A23" s="6" t="s">
        <v>62</v>
      </c>
      <c r="B23" t="s">
        <v>34</v>
      </c>
      <c r="C23"/>
    </row>
    <row r="24" spans="1:6" x14ac:dyDescent="0.25">
      <c r="A24" s="6" t="s">
        <v>63</v>
      </c>
      <c r="B24" t="s">
        <v>35</v>
      </c>
      <c r="C24"/>
    </row>
    <row r="25" spans="1:6" x14ac:dyDescent="0.25">
      <c r="A25" s="6" t="s">
        <v>64</v>
      </c>
      <c r="B25" t="s">
        <v>36</v>
      </c>
      <c r="C25"/>
    </row>
    <row r="26" spans="1:6" x14ac:dyDescent="0.25">
      <c r="A26" s="6" t="s">
        <v>65</v>
      </c>
      <c r="B26" t="s">
        <v>37</v>
      </c>
      <c r="C26"/>
    </row>
    <row r="27" spans="1:6" x14ac:dyDescent="0.25">
      <c r="A27" s="9" t="s">
        <v>66</v>
      </c>
      <c r="B27" t="s">
        <v>57</v>
      </c>
      <c r="C27"/>
    </row>
    <row r="28" spans="1:6" x14ac:dyDescent="0.25">
      <c r="A28" s="9" t="s">
        <v>67</v>
      </c>
      <c r="B28" t="s">
        <v>38</v>
      </c>
      <c r="C28"/>
    </row>
    <row r="29" spans="1:6" x14ac:dyDescent="0.25">
      <c r="A29" s="9" t="s">
        <v>60</v>
      </c>
      <c r="B29" t="s">
        <v>39</v>
      </c>
      <c r="C29"/>
    </row>
    <row r="30" spans="1:6" x14ac:dyDescent="0.25">
      <c r="A30" s="13" t="s">
        <v>59</v>
      </c>
      <c r="B30" t="s">
        <v>53</v>
      </c>
      <c r="C30"/>
    </row>
    <row r="31" spans="1:6" x14ac:dyDescent="0.25">
      <c r="A31" s="13" t="s">
        <v>68</v>
      </c>
      <c r="B31" t="s">
        <v>40</v>
      </c>
      <c r="C31"/>
    </row>
    <row r="32" spans="1:6" x14ac:dyDescent="0.25">
      <c r="A32" s="13" t="s">
        <v>69</v>
      </c>
      <c r="B32" t="s">
        <v>39</v>
      </c>
      <c r="C32"/>
    </row>
    <row r="33" spans="1:4" x14ac:dyDescent="0.25">
      <c r="A33" s="11" t="s">
        <v>70</v>
      </c>
      <c r="B33" t="s">
        <v>58</v>
      </c>
      <c r="C33"/>
    </row>
    <row r="34" spans="1:4" x14ac:dyDescent="0.25">
      <c r="A34" s="11" t="s">
        <v>71</v>
      </c>
      <c r="B34" t="s">
        <v>41</v>
      </c>
      <c r="C34"/>
    </row>
    <row r="35" spans="1:4" x14ac:dyDescent="0.25">
      <c r="A35" s="11" t="s">
        <v>72</v>
      </c>
      <c r="B35" t="s">
        <v>42</v>
      </c>
      <c r="C35"/>
    </row>
    <row r="36" spans="1:4" x14ac:dyDescent="0.25">
      <c r="A36"/>
      <c r="C36"/>
    </row>
    <row r="37" spans="1:4" x14ac:dyDescent="0.25">
      <c r="A37"/>
      <c r="C37"/>
    </row>
    <row r="38" spans="1:4" x14ac:dyDescent="0.25">
      <c r="A38"/>
      <c r="C38"/>
    </row>
    <row r="39" spans="1:4" x14ac:dyDescent="0.25">
      <c r="A39"/>
      <c r="C39"/>
    </row>
    <row r="40" spans="1:4" x14ac:dyDescent="0.25">
      <c r="A40" t="s">
        <v>43</v>
      </c>
      <c r="B40" t="s">
        <v>44</v>
      </c>
      <c r="C40" t="s">
        <v>45</v>
      </c>
      <c r="D40" t="s">
        <v>46</v>
      </c>
    </row>
    <row r="41" spans="1:4" x14ac:dyDescent="0.25">
      <c r="A41" t="s">
        <v>56</v>
      </c>
      <c r="B41" t="s">
        <v>52</v>
      </c>
      <c r="C41" t="s">
        <v>47</v>
      </c>
      <c r="D41" t="s">
        <v>48</v>
      </c>
    </row>
    <row r="42" spans="1:4" x14ac:dyDescent="0.25">
      <c r="A42" t="s">
        <v>55</v>
      </c>
      <c r="B42" t="s">
        <v>53</v>
      </c>
      <c r="C42" t="s">
        <v>49</v>
      </c>
      <c r="D42" t="s">
        <v>48</v>
      </c>
    </row>
    <row r="43" spans="1:4" x14ac:dyDescent="0.25">
      <c r="A43" t="s">
        <v>54</v>
      </c>
      <c r="B43" t="s">
        <v>58</v>
      </c>
      <c r="C43" t="s">
        <v>50</v>
      </c>
      <c r="D43" t="s">
        <v>51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D8C8F-D0A4-4418-B530-6003A6376735}">
  <sheetPr codeName="Sheet3"/>
  <dimension ref="A1:G17"/>
  <sheetViews>
    <sheetView workbookViewId="0">
      <selection activeCell="F1" sqref="F1:F17"/>
    </sheetView>
  </sheetViews>
  <sheetFormatPr defaultColWidth="31.6640625" defaultRowHeight="15.75" x14ac:dyDescent="0.25"/>
  <cols>
    <col min="2" max="5" width="0" hidden="1" customWidth="1"/>
    <col min="6" max="6" width="63.6640625" customWidth="1"/>
  </cols>
  <sheetData>
    <row r="1" spans="1:7" s="3" customFormat="1" x14ac:dyDescent="0.25">
      <c r="A1" s="4" t="s">
        <v>0</v>
      </c>
      <c r="B1" s="3" t="s">
        <v>1</v>
      </c>
      <c r="C1" s="4" t="s">
        <v>2</v>
      </c>
      <c r="D1" s="3" t="s">
        <v>3</v>
      </c>
      <c r="E1" s="3" t="s">
        <v>4</v>
      </c>
      <c r="F1" s="5" t="s">
        <v>5</v>
      </c>
      <c r="G1" s="3" t="s">
        <v>6</v>
      </c>
    </row>
    <row r="2" spans="1:7" s="6" customFormat="1" x14ac:dyDescent="0.25">
      <c r="A2" s="6" t="s">
        <v>62</v>
      </c>
      <c r="C2" s="7"/>
      <c r="F2" s="6" t="s">
        <v>34</v>
      </c>
    </row>
    <row r="3" spans="1:7" s="6" customFormat="1" x14ac:dyDescent="0.25">
      <c r="A3" s="6" t="s">
        <v>73</v>
      </c>
      <c r="C3" s="7" t="s">
        <v>9</v>
      </c>
      <c r="F3" s="6" t="s">
        <v>74</v>
      </c>
    </row>
    <row r="4" spans="1:7" s="6" customFormat="1" ht="47.25" x14ac:dyDescent="0.25">
      <c r="A4" s="6" t="s">
        <v>76</v>
      </c>
      <c r="C4" s="8" t="s">
        <v>30</v>
      </c>
      <c r="F4" s="6" t="s">
        <v>80</v>
      </c>
    </row>
    <row r="5" spans="1:7" s="6" customFormat="1" x14ac:dyDescent="0.25">
      <c r="A5" s="6" t="s">
        <v>77</v>
      </c>
      <c r="C5" s="7"/>
      <c r="D5" s="6" t="s">
        <v>7</v>
      </c>
      <c r="F5" s="6" t="s">
        <v>81</v>
      </c>
    </row>
    <row r="6" spans="1:7" s="9" customFormat="1" x14ac:dyDescent="0.25">
      <c r="A6" s="9" t="s">
        <v>66</v>
      </c>
      <c r="C6" s="10"/>
      <c r="F6" s="9" t="s">
        <v>35</v>
      </c>
    </row>
    <row r="7" spans="1:7" s="9" customFormat="1" x14ac:dyDescent="0.25">
      <c r="A7" s="9" t="s">
        <v>67</v>
      </c>
      <c r="C7" s="10"/>
      <c r="F7" s="9" t="s">
        <v>57</v>
      </c>
    </row>
    <row r="8" spans="1:7" s="9" customFormat="1" x14ac:dyDescent="0.25">
      <c r="A8" s="9" t="s">
        <v>60</v>
      </c>
      <c r="C8" s="10"/>
      <c r="F8" s="9" t="s">
        <v>53</v>
      </c>
    </row>
    <row r="9" spans="1:7" s="13" customFormat="1" x14ac:dyDescent="0.25">
      <c r="A9" s="9" t="s">
        <v>59</v>
      </c>
      <c r="C9" s="14"/>
      <c r="F9" s="9" t="s">
        <v>58</v>
      </c>
    </row>
    <row r="10" spans="1:7" s="13" customFormat="1" x14ac:dyDescent="0.25">
      <c r="A10" s="13" t="s">
        <v>68</v>
      </c>
      <c r="C10" s="14"/>
      <c r="F10" s="13" t="s">
        <v>37</v>
      </c>
    </row>
    <row r="11" spans="1:7" s="13" customFormat="1" x14ac:dyDescent="0.25">
      <c r="A11" s="13" t="s">
        <v>69</v>
      </c>
      <c r="C11" s="14"/>
      <c r="F11" s="13" t="s">
        <v>39</v>
      </c>
    </row>
    <row r="12" spans="1:7" s="11" customFormat="1" x14ac:dyDescent="0.25">
      <c r="A12" s="13" t="s">
        <v>70</v>
      </c>
      <c r="C12" s="12"/>
      <c r="F12" s="13" t="s">
        <v>39</v>
      </c>
    </row>
    <row r="13" spans="1:7" s="11" customFormat="1" x14ac:dyDescent="0.25">
      <c r="A13" s="13" t="s">
        <v>71</v>
      </c>
      <c r="C13" s="12"/>
      <c r="F13" s="13" t="s">
        <v>42</v>
      </c>
    </row>
    <row r="14" spans="1:7" s="11" customFormat="1" x14ac:dyDescent="0.25">
      <c r="A14" s="11" t="s">
        <v>72</v>
      </c>
      <c r="C14" s="12"/>
      <c r="F14" s="11" t="s">
        <v>36</v>
      </c>
    </row>
    <row r="15" spans="1:7" x14ac:dyDescent="0.25">
      <c r="A15" s="11" t="s">
        <v>75</v>
      </c>
      <c r="F15" s="11" t="s">
        <v>82</v>
      </c>
    </row>
    <row r="16" spans="1:7" x14ac:dyDescent="0.25">
      <c r="A16" s="11" t="s">
        <v>79</v>
      </c>
      <c r="F16" s="11" t="s">
        <v>40</v>
      </c>
    </row>
    <row r="17" spans="1:6" x14ac:dyDescent="0.25">
      <c r="A17" s="12" t="s">
        <v>78</v>
      </c>
      <c r="F17" s="15" t="s">
        <v>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63628-DEB8-427F-A60D-14AA11C9F471}">
  <sheetPr codeName="Sheet4"/>
  <dimension ref="A1:I111"/>
  <sheetViews>
    <sheetView tabSelected="1" workbookViewId="0">
      <pane ySplit="1" topLeftCell="A14" activePane="bottomLeft" state="frozen"/>
      <selection pane="bottomLeft" activeCell="A53" sqref="A53"/>
    </sheetView>
  </sheetViews>
  <sheetFormatPr defaultColWidth="21.109375" defaultRowHeight="15.75" x14ac:dyDescent="0.25"/>
  <cols>
    <col min="1" max="1" width="31.21875" customWidth="1"/>
    <col min="2" max="2" width="10" customWidth="1"/>
    <col min="3" max="3" width="10" style="16" customWidth="1"/>
    <col min="4" max="4" width="15.88671875" customWidth="1"/>
    <col min="5" max="5" width="21.6640625" customWidth="1"/>
    <col min="6" max="7" width="21.109375" hidden="1" customWidth="1"/>
    <col min="8" max="8" width="49.33203125" customWidth="1"/>
  </cols>
  <sheetData>
    <row r="1" spans="1:9" s="20" customFormat="1" x14ac:dyDescent="0.25">
      <c r="A1" s="19" t="s">
        <v>0</v>
      </c>
      <c r="B1" s="20" t="s">
        <v>1</v>
      </c>
      <c r="C1" s="21" t="s">
        <v>146</v>
      </c>
      <c r="D1" s="20" t="s">
        <v>145</v>
      </c>
      <c r="E1" s="19" t="s">
        <v>2</v>
      </c>
      <c r="F1" s="20" t="s">
        <v>3</v>
      </c>
      <c r="G1" s="20" t="s">
        <v>4</v>
      </c>
      <c r="H1" s="19" t="s">
        <v>5</v>
      </c>
      <c r="I1" s="20" t="s">
        <v>6</v>
      </c>
    </row>
    <row r="2" spans="1:9" x14ac:dyDescent="0.25">
      <c r="A2" s="1" t="s">
        <v>14</v>
      </c>
      <c r="E2" s="1"/>
      <c r="H2" s="1" t="s">
        <v>270</v>
      </c>
    </row>
    <row r="3" spans="1:9" x14ac:dyDescent="0.25">
      <c r="A3" s="1" t="s">
        <v>15</v>
      </c>
      <c r="E3" s="1" t="s">
        <v>9</v>
      </c>
      <c r="H3" s="1" t="s">
        <v>11</v>
      </c>
      <c r="I3" t="s">
        <v>10</v>
      </c>
    </row>
    <row r="4" spans="1:9" ht="78.75" x14ac:dyDescent="0.25">
      <c r="A4" s="1" t="s">
        <v>16</v>
      </c>
      <c r="E4" s="2" t="s">
        <v>30</v>
      </c>
      <c r="H4" s="2" t="s">
        <v>271</v>
      </c>
    </row>
    <row r="5" spans="1:9" x14ac:dyDescent="0.25">
      <c r="A5" s="1" t="s">
        <v>274</v>
      </c>
      <c r="E5" s="2"/>
      <c r="H5" s="2">
        <v>1.1000000000000001</v>
      </c>
    </row>
    <row r="6" spans="1:9" x14ac:dyDescent="0.25">
      <c r="A6" s="1" t="s">
        <v>266</v>
      </c>
      <c r="E6" s="2"/>
      <c r="H6" s="2" t="s">
        <v>267</v>
      </c>
    </row>
    <row r="7" spans="1:9" x14ac:dyDescent="0.25">
      <c r="A7" s="1" t="s">
        <v>272</v>
      </c>
      <c r="E7" s="2"/>
      <c r="H7" s="2" t="s">
        <v>273</v>
      </c>
    </row>
    <row r="8" spans="1:9" x14ac:dyDescent="0.25">
      <c r="A8" s="1" t="s">
        <v>275</v>
      </c>
      <c r="E8" s="2"/>
      <c r="H8" s="2" t="s">
        <v>276</v>
      </c>
    </row>
    <row r="9" spans="1:9" x14ac:dyDescent="0.25">
      <c r="A9" s="1" t="s">
        <v>268</v>
      </c>
      <c r="E9" s="2"/>
      <c r="H9" s="2" t="s">
        <v>269</v>
      </c>
    </row>
    <row r="10" spans="1:9" x14ac:dyDescent="0.25">
      <c r="A10" s="1" t="s">
        <v>277</v>
      </c>
      <c r="E10" s="2"/>
      <c r="H10" s="2" t="s">
        <v>278</v>
      </c>
    </row>
    <row r="11" spans="1:9" s="24" customFormat="1" x14ac:dyDescent="0.25">
      <c r="A11" s="23" t="s">
        <v>280</v>
      </c>
      <c r="C11" s="25"/>
      <c r="E11" s="26"/>
      <c r="H11" s="26" t="s">
        <v>279</v>
      </c>
    </row>
    <row r="12" spans="1:9" s="24" customFormat="1" x14ac:dyDescent="0.25">
      <c r="A12" s="23" t="s">
        <v>281</v>
      </c>
      <c r="C12" s="25"/>
      <c r="E12" s="26"/>
      <c r="H12" s="26" t="s">
        <v>282</v>
      </c>
    </row>
    <row r="13" spans="1:9" s="24" customFormat="1" ht="16.5" customHeight="1" x14ac:dyDescent="0.25">
      <c r="A13" s="23" t="s">
        <v>284</v>
      </c>
      <c r="C13" s="25"/>
      <c r="E13" s="26"/>
      <c r="H13" s="26" t="s">
        <v>283</v>
      </c>
    </row>
    <row r="14" spans="1:9" s="24" customFormat="1" ht="16.5" customHeight="1" x14ac:dyDescent="0.25">
      <c r="A14" s="23" t="s">
        <v>285</v>
      </c>
      <c r="C14" s="25"/>
      <c r="E14" s="26"/>
      <c r="H14" s="26" t="s">
        <v>286</v>
      </c>
    </row>
    <row r="15" spans="1:9" s="28" customFormat="1" x14ac:dyDescent="0.25">
      <c r="A15" s="27" t="s">
        <v>287</v>
      </c>
      <c r="C15" s="29"/>
      <c r="E15" s="30"/>
      <c r="H15" s="30" t="s">
        <v>279</v>
      </c>
    </row>
    <row r="16" spans="1:9" s="28" customFormat="1" x14ac:dyDescent="0.25">
      <c r="A16" s="27" t="s">
        <v>288</v>
      </c>
      <c r="C16" s="29"/>
      <c r="E16" s="30"/>
      <c r="H16" s="30" t="s">
        <v>282</v>
      </c>
    </row>
    <row r="17" spans="1:8" s="28" customFormat="1" ht="16.5" customHeight="1" x14ac:dyDescent="0.25">
      <c r="A17" s="27" t="s">
        <v>289</v>
      </c>
      <c r="C17" s="29"/>
      <c r="E17" s="30"/>
      <c r="H17" s="30" t="s">
        <v>290</v>
      </c>
    </row>
    <row r="18" spans="1:8" s="28" customFormat="1" ht="16.5" customHeight="1" x14ac:dyDescent="0.25">
      <c r="A18" s="27" t="s">
        <v>291</v>
      </c>
      <c r="C18" s="29"/>
      <c r="E18" s="30"/>
      <c r="H18" s="30" t="s">
        <v>292</v>
      </c>
    </row>
    <row r="19" spans="1:8" s="28" customFormat="1" ht="16.5" customHeight="1" x14ac:dyDescent="0.25">
      <c r="A19" s="27" t="s">
        <v>293</v>
      </c>
      <c r="C19" s="29"/>
      <c r="E19" s="30"/>
      <c r="H19" s="30" t="s">
        <v>294</v>
      </c>
    </row>
    <row r="20" spans="1:8" s="28" customFormat="1" ht="16.5" customHeight="1" x14ac:dyDescent="0.25">
      <c r="A20" s="27" t="s">
        <v>295</v>
      </c>
      <c r="C20" s="29"/>
      <c r="E20" s="30"/>
      <c r="H20" s="30" t="s">
        <v>286</v>
      </c>
    </row>
    <row r="21" spans="1:8" x14ac:dyDescent="0.25">
      <c r="A21" s="1" t="s">
        <v>241</v>
      </c>
      <c r="E21" s="2"/>
      <c r="H21" s="2" t="s">
        <v>143</v>
      </c>
    </row>
    <row r="22" spans="1:8" s="17" customFormat="1" x14ac:dyDescent="0.25">
      <c r="A22" s="17" t="s">
        <v>196</v>
      </c>
      <c r="B22" s="17">
        <v>5000</v>
      </c>
      <c r="C22" s="22">
        <v>1</v>
      </c>
      <c r="H22" s="17" t="s">
        <v>197</v>
      </c>
    </row>
    <row r="23" spans="1:8" x14ac:dyDescent="0.25">
      <c r="A23" t="s">
        <v>200</v>
      </c>
      <c r="B23">
        <v>5001</v>
      </c>
      <c r="D23" t="s">
        <v>197</v>
      </c>
      <c r="H23" t="s">
        <v>203</v>
      </c>
    </row>
    <row r="24" spans="1:8" x14ac:dyDescent="0.25">
      <c r="A24" t="s">
        <v>218</v>
      </c>
      <c r="B24">
        <v>5002</v>
      </c>
      <c r="D24" t="s">
        <v>197</v>
      </c>
      <c r="H24" t="s">
        <v>219</v>
      </c>
    </row>
    <row r="25" spans="1:8" x14ac:dyDescent="0.25">
      <c r="A25" t="s">
        <v>198</v>
      </c>
      <c r="B25">
        <v>5003</v>
      </c>
      <c r="D25" t="s">
        <v>197</v>
      </c>
      <c r="H25" t="s">
        <v>199</v>
      </c>
    </row>
    <row r="26" spans="1:8" x14ac:dyDescent="0.25">
      <c r="A26" t="s">
        <v>220</v>
      </c>
      <c r="B26">
        <v>5004</v>
      </c>
      <c r="D26" t="s">
        <v>197</v>
      </c>
      <c r="H26" t="s">
        <v>221</v>
      </c>
    </row>
    <row r="27" spans="1:8" x14ac:dyDescent="0.25">
      <c r="A27" t="s">
        <v>201</v>
      </c>
      <c r="B27">
        <v>5005</v>
      </c>
      <c r="D27" t="s">
        <v>197</v>
      </c>
      <c r="H27" t="s">
        <v>205</v>
      </c>
    </row>
    <row r="28" spans="1:8" x14ac:dyDescent="0.25">
      <c r="A28" t="s">
        <v>202</v>
      </c>
      <c r="B28">
        <v>5006</v>
      </c>
      <c r="D28" t="s">
        <v>197</v>
      </c>
      <c r="H28" t="s">
        <v>204</v>
      </c>
    </row>
    <row r="29" spans="1:8" x14ac:dyDescent="0.25">
      <c r="A29" t="s">
        <v>222</v>
      </c>
      <c r="B29">
        <v>5007</v>
      </c>
      <c r="D29" t="s">
        <v>197</v>
      </c>
      <c r="H29" t="s">
        <v>223</v>
      </c>
    </row>
    <row r="30" spans="1:8" x14ac:dyDescent="0.25">
      <c r="A30" t="s">
        <v>224</v>
      </c>
      <c r="B30">
        <v>5008</v>
      </c>
      <c r="D30" t="s">
        <v>197</v>
      </c>
      <c r="H30" t="s">
        <v>225</v>
      </c>
    </row>
    <row r="31" spans="1:8" x14ac:dyDescent="0.25">
      <c r="A31" t="s">
        <v>242</v>
      </c>
      <c r="H31" t="s">
        <v>81</v>
      </c>
    </row>
    <row r="32" spans="1:8" x14ac:dyDescent="0.25">
      <c r="A32" t="s">
        <v>243</v>
      </c>
      <c r="H32" t="s">
        <v>107</v>
      </c>
    </row>
    <row r="33" spans="1:8" s="17" customFormat="1" x14ac:dyDescent="0.25">
      <c r="A33" s="17" t="s">
        <v>84</v>
      </c>
      <c r="B33" s="17">
        <v>5009</v>
      </c>
      <c r="C33" s="22">
        <v>1</v>
      </c>
      <c r="H33" s="17" t="s">
        <v>108</v>
      </c>
    </row>
    <row r="34" spans="1:8" ht="15" customHeight="1" x14ac:dyDescent="0.25">
      <c r="A34" t="s">
        <v>154</v>
      </c>
      <c r="B34">
        <v>5010</v>
      </c>
      <c r="D34" t="s">
        <v>108</v>
      </c>
      <c r="H34" t="s">
        <v>155</v>
      </c>
    </row>
    <row r="35" spans="1:8" x14ac:dyDescent="0.25">
      <c r="A35" t="s">
        <v>245</v>
      </c>
      <c r="H35" t="s">
        <v>109</v>
      </c>
    </row>
    <row r="36" spans="1:8" s="17" customFormat="1" x14ac:dyDescent="0.25">
      <c r="A36" s="17" t="s">
        <v>85</v>
      </c>
      <c r="B36" s="17">
        <v>5011</v>
      </c>
      <c r="C36" s="22">
        <v>1</v>
      </c>
      <c r="H36" s="17" t="s">
        <v>110</v>
      </c>
    </row>
    <row r="37" spans="1:8" x14ac:dyDescent="0.25">
      <c r="A37" t="s">
        <v>226</v>
      </c>
      <c r="B37">
        <v>5012</v>
      </c>
      <c r="D37" t="s">
        <v>110</v>
      </c>
      <c r="H37" t="s">
        <v>227</v>
      </c>
    </row>
    <row r="38" spans="1:8" x14ac:dyDescent="0.25">
      <c r="A38" t="s">
        <v>184</v>
      </c>
      <c r="B38">
        <v>5013</v>
      </c>
      <c r="D38" t="s">
        <v>110</v>
      </c>
      <c r="H38" t="s">
        <v>185</v>
      </c>
    </row>
    <row r="39" spans="1:8" x14ac:dyDescent="0.25">
      <c r="A39" t="s">
        <v>170</v>
      </c>
      <c r="B39">
        <v>5014</v>
      </c>
      <c r="D39" t="s">
        <v>110</v>
      </c>
      <c r="H39" t="s">
        <v>171</v>
      </c>
    </row>
    <row r="40" spans="1:8" x14ac:dyDescent="0.25">
      <c r="A40" t="s">
        <v>167</v>
      </c>
      <c r="B40">
        <v>5015</v>
      </c>
      <c r="D40" t="s">
        <v>110</v>
      </c>
      <c r="H40" t="s">
        <v>186</v>
      </c>
    </row>
    <row r="41" spans="1:8" x14ac:dyDescent="0.25">
      <c r="A41" t="s">
        <v>206</v>
      </c>
      <c r="B41">
        <v>5016</v>
      </c>
      <c r="D41" t="s">
        <v>110</v>
      </c>
      <c r="H41" t="s">
        <v>207</v>
      </c>
    </row>
    <row r="42" spans="1:8" s="17" customFormat="1" x14ac:dyDescent="0.25">
      <c r="A42" s="17" t="s">
        <v>86</v>
      </c>
      <c r="B42" s="17">
        <v>5017</v>
      </c>
      <c r="C42" s="22">
        <v>1</v>
      </c>
      <c r="H42" s="17" t="s">
        <v>111</v>
      </c>
    </row>
    <row r="43" spans="1:8" x14ac:dyDescent="0.25">
      <c r="A43" t="s">
        <v>246</v>
      </c>
      <c r="D43" t="s">
        <v>111</v>
      </c>
      <c r="H43" t="s">
        <v>112</v>
      </c>
    </row>
    <row r="44" spans="1:8" x14ac:dyDescent="0.25">
      <c r="A44" t="s">
        <v>247</v>
      </c>
      <c r="D44" t="s">
        <v>111</v>
      </c>
      <c r="H44" t="s">
        <v>113</v>
      </c>
    </row>
    <row r="45" spans="1:8" x14ac:dyDescent="0.25">
      <c r="A45" t="s">
        <v>187</v>
      </c>
      <c r="B45">
        <v>5018</v>
      </c>
      <c r="D45" t="s">
        <v>111</v>
      </c>
      <c r="H45" t="s">
        <v>188</v>
      </c>
    </row>
    <row r="46" spans="1:8" x14ac:dyDescent="0.25">
      <c r="A46" t="s">
        <v>178</v>
      </c>
      <c r="B46">
        <v>5019</v>
      </c>
      <c r="D46" t="s">
        <v>111</v>
      </c>
      <c r="H46" t="s">
        <v>179</v>
      </c>
    </row>
    <row r="47" spans="1:8" x14ac:dyDescent="0.25">
      <c r="A47" t="s">
        <v>182</v>
      </c>
      <c r="B47">
        <v>5020</v>
      </c>
      <c r="D47" t="s">
        <v>111</v>
      </c>
      <c r="H47" t="s">
        <v>183</v>
      </c>
    </row>
    <row r="48" spans="1:8" s="17" customFormat="1" x14ac:dyDescent="0.25">
      <c r="A48" s="17" t="s">
        <v>103</v>
      </c>
      <c r="B48" s="17">
        <v>5021</v>
      </c>
      <c r="C48" s="22">
        <v>1</v>
      </c>
      <c r="H48" s="17" t="s">
        <v>138</v>
      </c>
    </row>
    <row r="49" spans="1:8" x14ac:dyDescent="0.25">
      <c r="A49" t="s">
        <v>160</v>
      </c>
      <c r="B49">
        <v>5022</v>
      </c>
      <c r="D49" t="s">
        <v>138</v>
      </c>
      <c r="H49" t="s">
        <v>161</v>
      </c>
    </row>
    <row r="50" spans="1:8" x14ac:dyDescent="0.25">
      <c r="A50" t="s">
        <v>234</v>
      </c>
      <c r="B50">
        <v>5023</v>
      </c>
      <c r="D50" t="s">
        <v>138</v>
      </c>
      <c r="H50" t="s">
        <v>235</v>
      </c>
    </row>
    <row r="51" spans="1:8" ht="18" customHeight="1" x14ac:dyDescent="0.25">
      <c r="A51" t="s">
        <v>162</v>
      </c>
      <c r="B51">
        <v>5024</v>
      </c>
      <c r="D51" t="s">
        <v>138</v>
      </c>
      <c r="H51" t="s">
        <v>163</v>
      </c>
    </row>
    <row r="52" spans="1:8" ht="18" customHeight="1" x14ac:dyDescent="0.25">
      <c r="A52" t="s">
        <v>172</v>
      </c>
      <c r="B52">
        <v>5025</v>
      </c>
      <c r="D52" t="s">
        <v>138</v>
      </c>
      <c r="H52" t="s">
        <v>173</v>
      </c>
    </row>
    <row r="53" spans="1:8" x14ac:dyDescent="0.25">
      <c r="A53" t="s">
        <v>297</v>
      </c>
      <c r="H53" t="s">
        <v>296</v>
      </c>
    </row>
    <row r="54" spans="1:8" s="17" customFormat="1" x14ac:dyDescent="0.25">
      <c r="A54" s="17" t="s">
        <v>88</v>
      </c>
      <c r="B54" s="17">
        <v>5026</v>
      </c>
      <c r="C54" s="22">
        <v>1</v>
      </c>
      <c r="H54" s="17" t="s">
        <v>117</v>
      </c>
    </row>
    <row r="55" spans="1:8" x14ac:dyDescent="0.25">
      <c r="A55" t="s">
        <v>248</v>
      </c>
      <c r="D55" t="s">
        <v>117</v>
      </c>
      <c r="H55" t="s">
        <v>176</v>
      </c>
    </row>
    <row r="56" spans="1:8" x14ac:dyDescent="0.25">
      <c r="A56" t="s">
        <v>210</v>
      </c>
      <c r="B56">
        <v>5027</v>
      </c>
      <c r="D56" t="s">
        <v>117</v>
      </c>
      <c r="H56" t="s">
        <v>211</v>
      </c>
    </row>
    <row r="57" spans="1:8" x14ac:dyDescent="0.25">
      <c r="A57" t="s">
        <v>168</v>
      </c>
      <c r="B57">
        <v>5028</v>
      </c>
      <c r="D57" t="s">
        <v>117</v>
      </c>
      <c r="H57" t="s">
        <v>177</v>
      </c>
    </row>
    <row r="58" spans="1:8" x14ac:dyDescent="0.25">
      <c r="A58" t="s">
        <v>208</v>
      </c>
      <c r="B58">
        <v>5029</v>
      </c>
      <c r="D58" t="s">
        <v>117</v>
      </c>
      <c r="H58" t="s">
        <v>209</v>
      </c>
    </row>
    <row r="59" spans="1:8" s="17" customFormat="1" x14ac:dyDescent="0.25">
      <c r="A59" s="17" t="s">
        <v>87</v>
      </c>
      <c r="B59" s="17">
        <v>5030</v>
      </c>
      <c r="C59" s="22">
        <v>1</v>
      </c>
      <c r="H59" s="17" t="s">
        <v>114</v>
      </c>
    </row>
    <row r="60" spans="1:8" x14ac:dyDescent="0.25">
      <c r="A60" t="s">
        <v>249</v>
      </c>
      <c r="D60" t="s">
        <v>114</v>
      </c>
      <c r="H60" t="s">
        <v>115</v>
      </c>
    </row>
    <row r="61" spans="1:8" x14ac:dyDescent="0.25">
      <c r="A61" t="s">
        <v>250</v>
      </c>
      <c r="D61" t="s">
        <v>114</v>
      </c>
      <c r="H61" t="s">
        <v>116</v>
      </c>
    </row>
    <row r="62" spans="1:8" x14ac:dyDescent="0.25">
      <c r="A62" t="s">
        <v>251</v>
      </c>
      <c r="D62" t="s">
        <v>114</v>
      </c>
      <c r="H62" t="s">
        <v>118</v>
      </c>
    </row>
    <row r="63" spans="1:8" x14ac:dyDescent="0.25">
      <c r="A63" t="s">
        <v>89</v>
      </c>
      <c r="B63">
        <v>5031</v>
      </c>
      <c r="D63" t="s">
        <v>114</v>
      </c>
      <c r="H63" t="s">
        <v>119</v>
      </c>
    </row>
    <row r="64" spans="1:8" x14ac:dyDescent="0.25">
      <c r="A64" t="s">
        <v>189</v>
      </c>
      <c r="B64">
        <v>5032</v>
      </c>
      <c r="D64" t="s">
        <v>114</v>
      </c>
      <c r="H64" t="s">
        <v>190</v>
      </c>
    </row>
    <row r="65" spans="1:8" x14ac:dyDescent="0.25">
      <c r="A65" t="s">
        <v>158</v>
      </c>
      <c r="B65">
        <v>5033</v>
      </c>
      <c r="D65" t="s">
        <v>114</v>
      </c>
      <c r="H65" t="s">
        <v>159</v>
      </c>
    </row>
    <row r="66" spans="1:8" x14ac:dyDescent="0.25">
      <c r="A66" t="s">
        <v>150</v>
      </c>
      <c r="B66">
        <v>5034</v>
      </c>
      <c r="D66" t="s">
        <v>114</v>
      </c>
      <c r="H66" t="s">
        <v>151</v>
      </c>
    </row>
    <row r="67" spans="1:8" ht="15" customHeight="1" x14ac:dyDescent="0.25">
      <c r="A67" t="s">
        <v>90</v>
      </c>
      <c r="B67">
        <v>5035</v>
      </c>
      <c r="D67" t="s">
        <v>114</v>
      </c>
      <c r="H67" t="s">
        <v>120</v>
      </c>
    </row>
    <row r="68" spans="1:8" ht="15" customHeight="1" x14ac:dyDescent="0.25">
      <c r="A68" t="s">
        <v>252</v>
      </c>
      <c r="D68" t="s">
        <v>114</v>
      </c>
      <c r="H68" t="s">
        <v>191</v>
      </c>
    </row>
    <row r="69" spans="1:8" x14ac:dyDescent="0.25">
      <c r="A69" t="s">
        <v>91</v>
      </c>
      <c r="B69">
        <v>5036</v>
      </c>
      <c r="D69" t="s">
        <v>114</v>
      </c>
      <c r="H69" t="s">
        <v>121</v>
      </c>
    </row>
    <row r="70" spans="1:8" x14ac:dyDescent="0.25">
      <c r="A70" t="s">
        <v>253</v>
      </c>
      <c r="D70" t="s">
        <v>114</v>
      </c>
      <c r="H70" t="s">
        <v>122</v>
      </c>
    </row>
    <row r="71" spans="1:8" s="17" customFormat="1" x14ac:dyDescent="0.25">
      <c r="A71" s="17" t="s">
        <v>105</v>
      </c>
      <c r="B71" s="17">
        <v>5037</v>
      </c>
      <c r="C71" s="22">
        <v>1</v>
      </c>
      <c r="H71" s="17" t="s">
        <v>140</v>
      </c>
    </row>
    <row r="72" spans="1:8" x14ac:dyDescent="0.25">
      <c r="A72" t="s">
        <v>195</v>
      </c>
      <c r="B72">
        <v>5038</v>
      </c>
      <c r="D72" t="s">
        <v>140</v>
      </c>
      <c r="H72" t="s">
        <v>194</v>
      </c>
    </row>
    <row r="73" spans="1:8" x14ac:dyDescent="0.25">
      <c r="A73" t="s">
        <v>212</v>
      </c>
      <c r="B73">
        <v>5039</v>
      </c>
      <c r="D73" t="s">
        <v>140</v>
      </c>
      <c r="H73" t="s">
        <v>213</v>
      </c>
    </row>
    <row r="74" spans="1:8" s="17" customFormat="1" x14ac:dyDescent="0.25">
      <c r="A74" s="17" t="s">
        <v>100</v>
      </c>
      <c r="B74" s="17">
        <v>5040</v>
      </c>
      <c r="C74" s="22">
        <v>1</v>
      </c>
      <c r="H74" s="17" t="s">
        <v>132</v>
      </c>
    </row>
    <row r="75" spans="1:8" x14ac:dyDescent="0.25">
      <c r="A75" t="s">
        <v>192</v>
      </c>
      <c r="B75">
        <v>5041</v>
      </c>
      <c r="D75" t="s">
        <v>132</v>
      </c>
      <c r="H75" t="s">
        <v>193</v>
      </c>
    </row>
    <row r="76" spans="1:8" x14ac:dyDescent="0.25">
      <c r="A76" t="s">
        <v>254</v>
      </c>
      <c r="D76" t="s">
        <v>132</v>
      </c>
      <c r="H76" t="s">
        <v>133</v>
      </c>
    </row>
    <row r="77" spans="1:8" x14ac:dyDescent="0.25">
      <c r="A77" t="s">
        <v>255</v>
      </c>
      <c r="D77" t="s">
        <v>132</v>
      </c>
      <c r="H77" t="s">
        <v>134</v>
      </c>
    </row>
    <row r="78" spans="1:8" x14ac:dyDescent="0.25">
      <c r="A78" t="s">
        <v>180</v>
      </c>
      <c r="B78">
        <v>5042</v>
      </c>
      <c r="D78" t="s">
        <v>132</v>
      </c>
      <c r="H78" t="s">
        <v>181</v>
      </c>
    </row>
    <row r="79" spans="1:8" s="17" customFormat="1" x14ac:dyDescent="0.25">
      <c r="A79" s="17" t="s">
        <v>92</v>
      </c>
      <c r="B79" s="17">
        <v>5043</v>
      </c>
      <c r="C79" s="22">
        <v>1</v>
      </c>
      <c r="H79" s="17" t="s">
        <v>123</v>
      </c>
    </row>
    <row r="80" spans="1:8" x14ac:dyDescent="0.25">
      <c r="A80" t="s">
        <v>93</v>
      </c>
      <c r="B80">
        <v>5044</v>
      </c>
      <c r="D80" t="s">
        <v>123</v>
      </c>
      <c r="H80" t="s">
        <v>124</v>
      </c>
    </row>
    <row r="81" spans="1:8" x14ac:dyDescent="0.25">
      <c r="A81" t="s">
        <v>94</v>
      </c>
      <c r="B81">
        <v>5045</v>
      </c>
      <c r="D81" t="s">
        <v>123</v>
      </c>
      <c r="H81" t="s">
        <v>125</v>
      </c>
    </row>
    <row r="82" spans="1:8" s="17" customFormat="1" x14ac:dyDescent="0.25">
      <c r="A82" s="17" t="s">
        <v>95</v>
      </c>
      <c r="B82" s="17">
        <v>5046</v>
      </c>
      <c r="C82" s="22">
        <v>1</v>
      </c>
      <c r="H82" s="17" t="s">
        <v>126</v>
      </c>
    </row>
    <row r="83" spans="1:8" x14ac:dyDescent="0.25">
      <c r="A83" t="s">
        <v>96</v>
      </c>
      <c r="B83">
        <v>5047</v>
      </c>
      <c r="D83" t="s">
        <v>126</v>
      </c>
      <c r="H83" t="s">
        <v>127</v>
      </c>
    </row>
    <row r="84" spans="1:8" x14ac:dyDescent="0.25">
      <c r="A84" t="s">
        <v>229</v>
      </c>
      <c r="B84">
        <v>5048</v>
      </c>
      <c r="D84" t="s">
        <v>126</v>
      </c>
      <c r="H84" t="s">
        <v>169</v>
      </c>
    </row>
    <row r="85" spans="1:8" x14ac:dyDescent="0.25">
      <c r="A85" t="s">
        <v>97</v>
      </c>
      <c r="B85">
        <v>5049</v>
      </c>
      <c r="D85" t="s">
        <v>126</v>
      </c>
      <c r="H85" t="s">
        <v>128</v>
      </c>
    </row>
    <row r="86" spans="1:8" x14ac:dyDescent="0.25">
      <c r="A86" t="s">
        <v>256</v>
      </c>
      <c r="D86" t="s">
        <v>126</v>
      </c>
      <c r="H86" t="s">
        <v>230</v>
      </c>
    </row>
    <row r="87" spans="1:8" x14ac:dyDescent="0.25">
      <c r="A87" t="s">
        <v>257</v>
      </c>
      <c r="D87" t="s">
        <v>126</v>
      </c>
      <c r="H87" t="s">
        <v>233</v>
      </c>
    </row>
    <row r="88" spans="1:8" x14ac:dyDescent="0.25">
      <c r="A88" t="s">
        <v>258</v>
      </c>
      <c r="D88" t="s">
        <v>126</v>
      </c>
      <c r="H88" t="s">
        <v>129</v>
      </c>
    </row>
    <row r="89" spans="1:8" ht="19.5" customHeight="1" x14ac:dyDescent="0.25">
      <c r="A89" t="s">
        <v>259</v>
      </c>
      <c r="D89" t="s">
        <v>126</v>
      </c>
      <c r="H89" t="s">
        <v>231</v>
      </c>
    </row>
    <row r="90" spans="1:8" ht="19.5" customHeight="1" x14ac:dyDescent="0.25">
      <c r="A90" t="s">
        <v>260</v>
      </c>
      <c r="D90" t="s">
        <v>126</v>
      </c>
      <c r="H90" t="s">
        <v>232</v>
      </c>
    </row>
    <row r="91" spans="1:8" x14ac:dyDescent="0.25">
      <c r="A91" t="s">
        <v>261</v>
      </c>
      <c r="D91" t="s">
        <v>126</v>
      </c>
      <c r="H91" t="s">
        <v>228</v>
      </c>
    </row>
    <row r="92" spans="1:8" x14ac:dyDescent="0.25">
      <c r="A92" t="s">
        <v>98</v>
      </c>
      <c r="B92">
        <v>5050</v>
      </c>
      <c r="C92" s="16">
        <v>1</v>
      </c>
      <c r="H92" t="s">
        <v>130</v>
      </c>
    </row>
    <row r="93" spans="1:8" x14ac:dyDescent="0.25">
      <c r="A93" t="s">
        <v>99</v>
      </c>
      <c r="B93">
        <v>5051</v>
      </c>
      <c r="D93" t="s">
        <v>130</v>
      </c>
      <c r="H93" t="s">
        <v>131</v>
      </c>
    </row>
    <row r="94" spans="1:8" s="17" customFormat="1" x14ac:dyDescent="0.25">
      <c r="A94" s="17" t="s">
        <v>101</v>
      </c>
      <c r="B94" s="17">
        <v>5052</v>
      </c>
      <c r="C94" s="22">
        <v>1</v>
      </c>
      <c r="H94" s="17" t="s">
        <v>135</v>
      </c>
    </row>
    <row r="95" spans="1:8" x14ac:dyDescent="0.25">
      <c r="A95" t="s">
        <v>262</v>
      </c>
      <c r="D95" t="s">
        <v>135</v>
      </c>
      <c r="H95" t="s">
        <v>136</v>
      </c>
    </row>
    <row r="96" spans="1:8" x14ac:dyDescent="0.25">
      <c r="A96" t="s">
        <v>148</v>
      </c>
      <c r="B96">
        <v>5053</v>
      </c>
      <c r="D96" t="s">
        <v>135</v>
      </c>
      <c r="H96" t="s">
        <v>149</v>
      </c>
    </row>
    <row r="97" spans="1:8" x14ac:dyDescent="0.25">
      <c r="A97" t="s">
        <v>152</v>
      </c>
      <c r="B97">
        <v>5054</v>
      </c>
      <c r="D97" t="s">
        <v>135</v>
      </c>
      <c r="H97" t="s">
        <v>153</v>
      </c>
    </row>
    <row r="98" spans="1:8" s="17" customFormat="1" x14ac:dyDescent="0.25">
      <c r="A98" s="17" t="s">
        <v>102</v>
      </c>
      <c r="B98" s="17">
        <v>5055</v>
      </c>
      <c r="C98" s="22">
        <v>1</v>
      </c>
      <c r="H98" s="17" t="s">
        <v>137</v>
      </c>
    </row>
    <row r="99" spans="1:8" x14ac:dyDescent="0.25">
      <c r="A99" t="s">
        <v>236</v>
      </c>
      <c r="B99">
        <v>5056</v>
      </c>
      <c r="D99" t="s">
        <v>137</v>
      </c>
      <c r="H99" t="s">
        <v>237</v>
      </c>
    </row>
    <row r="100" spans="1:8" x14ac:dyDescent="0.25">
      <c r="A100" t="s">
        <v>239</v>
      </c>
      <c r="B100">
        <v>5057</v>
      </c>
      <c r="D100" t="s">
        <v>137</v>
      </c>
      <c r="H100" t="s">
        <v>240</v>
      </c>
    </row>
    <row r="101" spans="1:8" x14ac:dyDescent="0.25">
      <c r="A101" t="s">
        <v>104</v>
      </c>
      <c r="B101">
        <v>5058</v>
      </c>
      <c r="D101" t="s">
        <v>137</v>
      </c>
      <c r="H101" t="s">
        <v>139</v>
      </c>
    </row>
    <row r="102" spans="1:8" x14ac:dyDescent="0.25">
      <c r="A102" t="s">
        <v>156</v>
      </c>
      <c r="B102">
        <v>5059</v>
      </c>
      <c r="D102" t="s">
        <v>137</v>
      </c>
      <c r="H102" t="s">
        <v>157</v>
      </c>
    </row>
    <row r="103" spans="1:8" x14ac:dyDescent="0.25">
      <c r="A103" t="s">
        <v>164</v>
      </c>
      <c r="B103">
        <v>5060</v>
      </c>
      <c r="D103" t="s">
        <v>137</v>
      </c>
      <c r="H103" t="s">
        <v>165</v>
      </c>
    </row>
    <row r="104" spans="1:8" x14ac:dyDescent="0.25">
      <c r="A104" t="s">
        <v>263</v>
      </c>
      <c r="D104" t="s">
        <v>137</v>
      </c>
      <c r="H104" t="s">
        <v>141</v>
      </c>
    </row>
    <row r="105" spans="1:8" x14ac:dyDescent="0.25">
      <c r="A105" t="s">
        <v>214</v>
      </c>
      <c r="B105">
        <v>5061</v>
      </c>
      <c r="D105" t="s">
        <v>137</v>
      </c>
      <c r="H105" t="s">
        <v>216</v>
      </c>
    </row>
    <row r="106" spans="1:8" x14ac:dyDescent="0.25">
      <c r="A106" t="s">
        <v>215</v>
      </c>
      <c r="B106">
        <v>5062</v>
      </c>
      <c r="D106" t="s">
        <v>137</v>
      </c>
      <c r="H106" t="s">
        <v>217</v>
      </c>
    </row>
    <row r="107" spans="1:8" x14ac:dyDescent="0.25">
      <c r="A107" t="s">
        <v>264</v>
      </c>
      <c r="D107" t="s">
        <v>137</v>
      </c>
      <c r="H107" t="s">
        <v>166</v>
      </c>
    </row>
    <row r="108" spans="1:8" x14ac:dyDescent="0.25">
      <c r="A108" t="s">
        <v>265</v>
      </c>
      <c r="D108" t="s">
        <v>137</v>
      </c>
      <c r="H108" t="s">
        <v>238</v>
      </c>
    </row>
    <row r="109" spans="1:8" x14ac:dyDescent="0.25">
      <c r="A109" t="s">
        <v>174</v>
      </c>
      <c r="B109">
        <v>5063</v>
      </c>
      <c r="D109" t="s">
        <v>137</v>
      </c>
      <c r="H109" t="s">
        <v>175</v>
      </c>
    </row>
    <row r="110" spans="1:8" x14ac:dyDescent="0.25">
      <c r="A110" t="s">
        <v>106</v>
      </c>
      <c r="B110">
        <v>5064</v>
      </c>
      <c r="D110" t="s">
        <v>137</v>
      </c>
      <c r="H110" t="s">
        <v>142</v>
      </c>
    </row>
    <row r="111" spans="1:8" x14ac:dyDescent="0.25">
      <c r="A111" t="s">
        <v>244</v>
      </c>
      <c r="H111" t="s">
        <v>144</v>
      </c>
    </row>
  </sheetData>
  <conditionalFormatting sqref="A1:A1048576">
    <cfRule type="duplicateValues" dxfId="1" priority="2"/>
  </conditionalFormatting>
  <conditionalFormatting sqref="H1:H1048576">
    <cfRule type="duplicateValues" dxfId="0" priority="1"/>
  </conditionalFormatting>
  <pageMargins left="0.7" right="0.7" top="0.75" bottom="0.75" header="0.3" footer="0.3"/>
  <pageSetup paperSize="9" orientation="portrait" horizontalDpi="0"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CACB4027-6F0A-42D0-8086-5486B4A6C3E4}">
          <x14:formula1>
            <xm:f>MacroRef!B:B</xm:f>
          </x14:formula1>
          <xm:sqref>D21:D111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8FE210-FBE5-4568-B456-157B4E310F80}">
  <sheetPr codeName="Sheet5"/>
  <dimension ref="A1:E15"/>
  <sheetViews>
    <sheetView workbookViewId="0">
      <selection activeCell="B12" sqref="B12"/>
    </sheetView>
  </sheetViews>
  <sheetFormatPr defaultColWidth="17.88671875" defaultRowHeight="15.75" x14ac:dyDescent="0.25"/>
  <sheetData>
    <row r="1" spans="1:5" x14ac:dyDescent="0.25">
      <c r="A1" s="18">
        <f>MATCH("Id", FolderCreate!1:1, 0)</f>
        <v>2</v>
      </c>
      <c r="B1" s="18">
        <f>MATCH("English(en)", FolderCreate!1:1, 0)</f>
        <v>8</v>
      </c>
      <c r="C1" s="18">
        <f>MATCH("Has Child", FolderCreate!1:1, 0)</f>
        <v>3</v>
      </c>
      <c r="D1" s="18">
        <f>MATCH("Parent ID", FolderCreate!1:1, 0)</f>
        <v>4</v>
      </c>
      <c r="E1" s="17" t="s">
        <v>147</v>
      </c>
    </row>
    <row r="2" spans="1:5" x14ac:dyDescent="0.25">
      <c r="A2" s="18" cm="1">
        <f t="array" ref="A2:A15">_xlfn._xlws.FILTER(INDEX(FolderCreate!1:1048576, 0, $A$1), INDEX(FolderCreate!1:1048576, 0, $C$1) = 1)</f>
        <v>5000</v>
      </c>
      <c r="B2" s="18" t="str" cm="1">
        <f t="array" ref="B2:B15">_xlfn._xlws.FILTER(INDEX(FolderCreate!1:1048576, 0, $B$1), INDEX(FolderCreate!1:1048576, 0, $C$1) = 1)</f>
        <v>8-Bit</v>
      </c>
      <c r="C2" s="18"/>
      <c r="D2" s="18"/>
    </row>
    <row r="3" spans="1:5" x14ac:dyDescent="0.25">
      <c r="A3" s="18">
        <v>5009</v>
      </c>
      <c r="B3" s="18" t="str">
        <v>Destruction</v>
      </c>
      <c r="C3" s="18"/>
      <c r="D3" s="18"/>
    </row>
    <row r="4" spans="1:5" x14ac:dyDescent="0.25">
      <c r="A4" s="18">
        <v>5011</v>
      </c>
      <c r="B4" s="18" t="str">
        <v>Electro Magnetic</v>
      </c>
      <c r="C4" s="18"/>
      <c r="D4" s="18"/>
    </row>
    <row r="5" spans="1:5" x14ac:dyDescent="0.25">
      <c r="A5" s="18">
        <v>5017</v>
      </c>
      <c r="B5" s="18" t="str">
        <v>Environment</v>
      </c>
      <c r="C5" s="18"/>
      <c r="D5" s="18"/>
    </row>
    <row r="6" spans="1:5" x14ac:dyDescent="0.25">
      <c r="A6" s="18">
        <v>5021</v>
      </c>
      <c r="B6" s="18" t="str">
        <v>Explosions</v>
      </c>
      <c r="C6" s="18"/>
      <c r="D6" s="18"/>
    </row>
    <row r="7" spans="1:5" x14ac:dyDescent="0.25">
      <c r="A7" s="18">
        <v>5026</v>
      </c>
      <c r="B7" s="18" t="str">
        <v>Footsteps</v>
      </c>
      <c r="C7" s="18"/>
      <c r="D7" s="18"/>
    </row>
    <row r="8" spans="1:5" x14ac:dyDescent="0.25">
      <c r="A8" s="18">
        <v>5030</v>
      </c>
      <c r="B8" s="18" t="str">
        <v>Fx</v>
      </c>
      <c r="C8" s="18"/>
      <c r="D8" s="18"/>
    </row>
    <row r="9" spans="1:5" x14ac:dyDescent="0.25">
      <c r="A9" s="18">
        <v>5037</v>
      </c>
      <c r="B9" s="18" t="str">
        <v>Impacts</v>
      </c>
      <c r="C9" s="18"/>
      <c r="D9" s="18"/>
    </row>
    <row r="10" spans="1:5" x14ac:dyDescent="0.25">
      <c r="A10">
        <v>5040</v>
      </c>
      <c r="B10" t="str">
        <v>Music</v>
      </c>
    </row>
    <row r="11" spans="1:5" x14ac:dyDescent="0.25">
      <c r="A11">
        <v>5043</v>
      </c>
      <c r="B11" t="str">
        <v>Temp</v>
      </c>
    </row>
    <row r="12" spans="1:5" x14ac:dyDescent="0.25">
      <c r="A12">
        <v>5046</v>
      </c>
      <c r="B12" t="str">
        <v>Ui</v>
      </c>
    </row>
    <row r="13" spans="1:5" x14ac:dyDescent="0.25">
      <c r="A13">
        <v>5050</v>
      </c>
      <c r="B13" t="str">
        <v>Vehicles</v>
      </c>
    </row>
    <row r="14" spans="1:5" x14ac:dyDescent="0.25">
      <c r="A14">
        <v>5052</v>
      </c>
      <c r="B14" t="str">
        <v>Voices</v>
      </c>
    </row>
    <row r="15" spans="1:5" x14ac:dyDescent="0.25">
      <c r="A15">
        <v>5055</v>
      </c>
      <c r="B15" t="str">
        <v>Weapons</v>
      </c>
    </row>
  </sheetData>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D1B04EA-6589-484A-8CFE-4E230E9CA0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MenuTable</vt:lpstr>
      <vt:lpstr>SoundTypes</vt:lpstr>
      <vt:lpstr>ST 4 csv</vt:lpstr>
      <vt:lpstr>FolderCreate</vt:lpstr>
      <vt:lpstr>MacroRef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Mark Busch</cp:lastModifiedBy>
  <dcterms:created xsi:type="dcterms:W3CDTF">2024-04-21T16:07:33Z</dcterms:created>
  <dcterms:modified xsi:type="dcterms:W3CDTF">2024-05-18T16:53:40Z</dcterms:modified>
</cp:coreProperties>
</file>